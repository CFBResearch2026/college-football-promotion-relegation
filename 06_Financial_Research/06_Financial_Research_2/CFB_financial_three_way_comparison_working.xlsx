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f4013f1c5848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ool comparison" sheetId="1" r:id="Rfaade2375b3c48f8"/>
    <x:sheet xmlns:r="http://schemas.openxmlformats.org/officeDocument/2006/relationships" name="Conference pools" sheetId="2" r:id="Ra15d964ac6994be8"/>
    <x:sheet xmlns:r="http://schemas.openxmlformats.org/officeDocument/2006/relationships" name="Read me" sheetId="3" r:id="Rc42b761cfcf540a0"/>
    <x:sheet xmlns:r="http://schemas.openxmlformats.org/officeDocument/2006/relationships" name="Conference comparison" sheetId="4" r:id="R77a5ba63105940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e8e38e205a4c62" /><Relationship Type="http://schemas.openxmlformats.org/officeDocument/2006/relationships/theme" Target="/xl/theme/theme1.xml" Id="R4dacaed042dc4d32" /><Relationship Type="http://schemas.openxmlformats.org/officeDocument/2006/relationships/sharedStrings" Target="/xl/sharedStrings.xml" Id="R6a8f4b82775e41f8" /><Relationship Type="http://schemas.openxmlformats.org/officeDocument/2006/relationships/worksheet" Target="/xl/worksheets/sheet1.xml" Id="Rfaade2375b3c48f8" /><Relationship Type="http://schemas.openxmlformats.org/officeDocument/2006/relationships/worksheet" Target="/xl/worksheets/sheet2.xml" Id="Ra15d964ac6994be8" /><Relationship Type="http://schemas.openxmlformats.org/officeDocument/2006/relationships/worksheet" Target="/xl/worksheets/sheet3.xml" Id="Rc42b761cfcf540a0" /><Relationship Type="http://schemas.openxmlformats.org/officeDocument/2006/relationships/worksheet" Target="/xl/worksheets/sheet4.xml" Id="R77a5ba63105940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23" hidden="0" customWidth="1"/>
    <x:col min="5" max="5" width="23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</x:cols>
  <x:sheetData>
    <x:row r="1" ht="32" customHeight="1">
      <x:c r="A1" s="4" t="str">
        <x:v>School ID</x:v>
      </x:c>
      <x:c r="B1" s="4" t="str">
        <x:v>Institution</x:v>
      </x:c>
      <x:c r="C1" s="4" t="str">
        <x:v>2026 subdivision</x:v>
      </x:c>
      <x:c r="D1" s="4" t="str">
        <x:v>Current conference</x:v>
      </x:c>
      <x:c r="E1" s="4" t="str">
        <x:v>Proposed conference</x:v>
      </x:c>
      <x:c r="F1" s="4" t="str">
        <x:v>v09 tier</x:v>
      </x:c>
      <x:c r="G1" s="4" t="str">
        <x:v>Recent win rate</x:v>
      </x:c>
      <x:c r="H1" s="4" t="str">
        <x:v>Opponent win rate</x:v>
      </x:c>
      <x:c r="I1" s="4" t="str">
        <x:v>Provisional rating</x:v>
      </x:c>
      <x:c r="J1" s="4" t="str">
        <x:v>Performance points</x:v>
      </x:c>
      <x:c r="K1" s="4" t="str">
        <x:v>FY2025 verified actual payout ($M)</x:v>
      </x:c>
      <x:c r="L1" s="4" t="str">
        <x:v>Actual status</x:v>
      </x:c>
      <x:c r="M1" s="4" t="str">
        <x:v>Current conference pool ($M)</x:v>
      </x:c>
      <x:c r="N1" s="4" t="str">
        <x:v>Current conference member count</x:v>
      </x:c>
      <x:c r="O1" s="4" t="str">
        <x:v>Current performance sum</x:v>
      </x:c>
      <x:c r="P1" s="4" t="str">
        <x:v>Current performance-model payout ($M)</x:v>
      </x:c>
      <x:c r="Q1" s="4" t="str">
        <x:v>Proposed conference funded pool ($M)</x:v>
      </x:c>
      <x:c r="R1" s="4" t="str">
        <x:v>Proposed conference member count</x:v>
      </x:c>
      <x:c r="S1" s="4" t="str">
        <x:v>Proposed performance sum</x:v>
      </x:c>
      <x:c r="T1" s="4" t="str">
        <x:v>Proposed-model payout ($M)</x:v>
      </x:c>
      <x:c r="U1" s="4" t="str">
        <x:v>Delta proposed vs current ($M)</x:v>
      </x:c>
      <x:c r="V1" s="4" t="str">
        <x:v>Delta proposed vs current (%)</x:v>
      </x:c>
      <x:c r="W1" s="4" t="str">
        <x:v>Delta proposed vs actual ($M)</x:v>
      </x:c>
      <x:c r="X1" s="4" t="str">
        <x:v>Source conference per-school funding ($M)</x:v>
      </x:c>
    </x:row>
    <x:row r="2">
      <x:c r="A2" t="str">
        <x:v>JAMES_MADISON</x:v>
      </x:c>
      <x:c r="B2" t="str">
        <x:v>James Madison University</x:v>
      </x:c>
      <x:c r="C2" t="str">
        <x:v>FBS</x:v>
      </x:c>
      <x:c r="D2" t="str">
        <x:v>Sun Belt</x:v>
      </x:c>
      <x:c r="E2" t="str">
        <x:v>Premier Atlantic</x:v>
      </x:c>
      <x:c r="F2" t="n">
        <x:v>1</x:v>
      </x:c>
      <x:c r="G2" t="n">
        <x:v>0.7993</x:v>
      </x:c>
      <x:c r="H2" t="n">
        <x:v>0.4744</x:v>
      </x:c>
      <x:c r="I2" t="n">
        <x:v>66.6344</x:v>
      </x:c>
      <x:c r="J2" t="n">
        <x:f>IF(ISNUMBER(I2),MAX(1,I2),1)</x:f>
        <x:v>66.6344</x:v>
      </x:c>
      <x:c r="K2"/>
      <x:c r="L2" t="str">
        <x:v>NOT VERIFIED</x:v>
      </x:c>
      <x:c r="M2" t="n">
        <x:f>IF(COUNTIFS('Conference pools'!$A$2:$A$25,D2,'Conference pools'!$D$2:$D$25,"&gt;=0")=0,"",SUMIF('Conference pools'!$A$2:$A$25,D2,'Conference pools'!$D$2:$D$25))</x:f>
        <x:v>0</x:v>
      </x:c>
      <x:c r="N2" t="n">
        <x:f>COUNTIF($D$2:$D$267,D2)</x:f>
        <x:v>13</x:v>
      </x:c>
      <x:c r="O2" t="n">
        <x:f>SUMIF($D$2:$D$267,D2,$J$2:$J$267)</x:f>
        <x:v>670.3176</x:v>
      </x:c>
      <x:c r="P2" t="n">
        <x:f>IF(OR(NOT(ISNUMBER(M2)),O2=0),"",M2*('Conference pools'!$H$2/N2+'Conference pools'!$H$3*J2/O2))</x:f>
        <x:v>0</x:v>
      </x:c>
      <x:c r="Q2" t="n">
        <x:f>IF(COUNTIFS($E$2:$E$267,E2,$X$2:$X$267,"&lt;&gt;")&lt;&gt;COUNTIF($E$2:$E$267,E2),"",SUMIF($E$2:$E$267,E2,$X$2:$X$267))</x:f>
        <x:v>0</x:v>
      </x:c>
      <x:c r="R2" t="n">
        <x:f>COUNTIF($E$2:$E$267,E2)</x:f>
        <x:v>12</x:v>
      </x:c>
      <x:c r="S2" t="n">
        <x:f>SUMIF($E$2:$E$267,E2,$J$2:$J$267)</x:f>
        <x:v>704.0832</x:v>
      </x:c>
      <x:c r="T2" t="n">
        <x:f>IF(OR(NOT(ISNUMBER(Q2)),S2=0),"",Q2*('Conference pools'!$H$2/R2+'Conference pools'!$H$3*J2/S2))</x:f>
        <x:v>0</x:v>
      </x:c>
      <x:c r="U2" t="n">
        <x:f>IF(OR(NOT(ISNUMBER(P2)),NOT(ISNUMBER(T2))),"",T2-P2)</x:f>
        <x:v>0</x:v>
      </x:c>
      <x:c r="V2" s="8" t="str">
        <x:f>IF(OR(NOT(ISNUMBER(U2)),P2=0),"",U2/P2)</x:f>
      </x:c>
      <x:c r="W2" t="str">
        <x:f>IF(OR(NOT(ISNUMBER(T2)),NOT(ISNUMBER(K2))),"",T2-K2)</x:f>
      </x:c>
      <x:c r="X2" t="n">
        <x:f>IF(NOT(ISNUMBER(M2)),"",M2/N2)</x:f>
        <x:v>0</x:v>
      </x:c>
    </x:row>
    <x:row r="3">
      <x:c r="A3" t="str">
        <x:v>OHIO</x:v>
      </x:c>
      <x:c r="B3" t="str">
        <x:v>Ohio University</x:v>
      </x:c>
      <x:c r="C3" t="str">
        <x:v>FBS</x:v>
      </x:c>
      <x:c r="D3" t="str">
        <x:v>Mid-American</x:v>
      </x:c>
      <x:c r="E3" t="str">
        <x:v>Premier Atlantic</x:v>
      </x:c>
      <x:c r="F3" t="n">
        <x:v>2</x:v>
      </x:c>
      <x:c r="G3" t="n">
        <x:v>0.745</x:v>
      </x:c>
      <x:c r="H3" t="n">
        <x:v>0.4453</x:v>
      </x:c>
      <x:c r="I3" t="n">
        <x:v>61.2258</x:v>
      </x:c>
      <x:c r="J3" t="n">
        <x:f>IF(ISNUMBER(I3),MAX(1,I3),1)</x:f>
        <x:v>61.2258</x:v>
      </x:c>
      <x:c r="K3"/>
      <x:c r="L3" t="str">
        <x:v>NOT VERIFIED</x:v>
      </x:c>
      <x:c r="M3" t="n">
        <x:f>IF(COUNTIFS('Conference pools'!$A$2:$A$25,D3,'Conference pools'!$D$2:$D$25,"&gt;=0")=0,"",SUMIF('Conference pools'!$A$2:$A$25,D3,'Conference pools'!$D$2:$D$25))</x:f>
        <x:v>0</x:v>
      </x:c>
      <x:c r="N3" t="n">
        <x:f>COUNTIF($D$2:$D$267,D3)</x:f>
        <x:v>13</x:v>
      </x:c>
      <x:c r="O3" t="n">
        <x:f>SUMIF($D$2:$D$267,D3,$J$2:$J$267)</x:f>
        <x:v>612.9399999999998</x:v>
      </x:c>
      <x:c r="P3" t="n">
        <x:f>IF(OR(NOT(ISNUMBER(M3)),O3=0),"",M3*('Conference pools'!$H$2/N3+'Conference pools'!$H$3*J3/O3))</x:f>
        <x:v>0</x:v>
      </x:c>
      <x:c r="Q3" t="n">
        <x:f>IF(COUNTIFS($E$2:$E$267,E3,$X$2:$X$267,"&lt;&gt;")&lt;&gt;COUNTIF($E$2:$E$267,E3),"",SUMIF($E$2:$E$267,E3,$X$2:$X$267))</x:f>
        <x:v>0</x:v>
      </x:c>
      <x:c r="R3" t="n">
        <x:f>COUNTIF($E$2:$E$267,E3)</x:f>
        <x:v>12</x:v>
      </x:c>
      <x:c r="S3" t="n">
        <x:f>SUMIF($E$2:$E$267,E3,$J$2:$J$267)</x:f>
        <x:v>704.0832</x:v>
      </x:c>
      <x:c r="T3" t="n">
        <x:f>IF(OR(NOT(ISNUMBER(Q3)),S3=0),"",Q3*('Conference pools'!$H$2/R3+'Conference pools'!$H$3*J3/S3))</x:f>
        <x:v>0</x:v>
      </x:c>
      <x:c r="U3" t="n">
        <x:f>IF(OR(NOT(ISNUMBER(P3)),NOT(ISNUMBER(T3))),"",T3-P3)</x:f>
        <x:v>0</x:v>
      </x:c>
      <x:c r="V3" s="8" t="str">
        <x:f>IF(OR(NOT(ISNUMBER(U3)),P3=0),"",U3/P3)</x:f>
      </x:c>
      <x:c r="W3" t="str">
        <x:f>IF(OR(NOT(ISNUMBER(T3)),NOT(ISNUMBER(K3))),"",T3-K3)</x:f>
      </x:c>
      <x:c r="X3" t="n">
        <x:f>IF(NOT(ISNUMBER(M3)),"",M3/N3)</x:f>
        <x:v>0</x:v>
      </x:c>
    </x:row>
    <x:row r="4">
      <x:c r="A4" t="str">
        <x:v>PENN_STATE</x:v>
      </x:c>
      <x:c r="B4" t="str">
        <x:v>Pennsylvania State University</x:v>
      </x:c>
      <x:c r="C4" t="str">
        <x:v>FBS</x:v>
      </x:c>
      <x:c r="D4" t="str">
        <x:v>Big Ten</x:v>
      </x:c>
      <x:c r="E4" t="str">
        <x:v>Premier Atlantic</x:v>
      </x:c>
      <x:c r="F4" t="n">
        <x:v>1</x:v>
      </x:c>
      <x:c r="G4" t="n">
        <x:v>0.7002</x:v>
      </x:c>
      <x:c r="H4" t="n">
        <x:v>0.5792</x:v>
      </x:c>
      <x:c r="I4" t="n">
        <x:v>68.6778</x:v>
      </x:c>
      <x:c r="J4" t="n">
        <x:f>IF(ISNUMBER(I4),MAX(1,I4),1)</x:f>
        <x:v>68.6778</x:v>
      </x:c>
      <x:c r="K4"/>
      <x:c r="L4" t="str">
        <x:v>NOT VERIFIED</x:v>
      </x:c>
      <x:c r="M4" t="n">
        <x:f>IF(COUNTIFS('Conference pools'!$A$2:$A$25,D4,'Conference pools'!$D$2:$D$25,"&gt;=0")=0,"",SUMIF('Conference pools'!$A$2:$A$25,D4,'Conference pools'!$D$2:$D$25))</x:f>
        <x:v>0</x:v>
      </x:c>
      <x:c r="N4" t="n">
        <x:f>COUNTIF($D$2:$D$267,D4)</x:f>
        <x:v>18</x:v>
      </x:c>
      <x:c r="O4" t="n">
        <x:f>SUMIF($D$2:$D$267,D4,$J$2:$J$267)</x:f>
        <x:v>1068.7005</x:v>
      </x:c>
      <x:c r="P4" t="n">
        <x:f>IF(OR(NOT(ISNUMBER(M4)),O4=0),"",M4*('Conference pools'!$H$2/N4+'Conference pools'!$H$3*J4/O4))</x:f>
        <x:v>0</x:v>
      </x:c>
      <x:c r="Q4" t="n">
        <x:f>IF(COUNTIFS($E$2:$E$267,E4,$X$2:$X$267,"&lt;&gt;")&lt;&gt;COUNTIF($E$2:$E$267,E4),"",SUMIF($E$2:$E$267,E4,$X$2:$X$267))</x:f>
        <x:v>0</x:v>
      </x:c>
      <x:c r="R4" t="n">
        <x:f>COUNTIF($E$2:$E$267,E4)</x:f>
        <x:v>12</x:v>
      </x:c>
      <x:c r="S4" t="n">
        <x:f>SUMIF($E$2:$E$267,E4,$J$2:$J$267)</x:f>
        <x:v>704.0832</x:v>
      </x:c>
      <x:c r="T4" t="n">
        <x:f>IF(OR(NOT(ISNUMBER(Q4)),S4=0),"",Q4*('Conference pools'!$H$2/R4+'Conference pools'!$H$3*J4/S4))</x:f>
        <x:v>0</x:v>
      </x:c>
      <x:c r="U4" t="n">
        <x:f>IF(OR(NOT(ISNUMBER(P4)),NOT(ISNUMBER(T4))),"",T4-P4)</x:f>
        <x:v>0</x:v>
      </x:c>
      <x:c r="V4" s="8" t="str">
        <x:f>IF(OR(NOT(ISNUMBER(U4)),P4=0),"",U4/P4)</x:f>
      </x:c>
      <x:c r="W4" t="str">
        <x:f>IF(OR(NOT(ISNUMBER(T4)),NOT(ISNUMBER(K4))),"",T4-K4)</x:f>
      </x:c>
      <x:c r="X4" t="n">
        <x:f>IF(NOT(ISNUMBER(M4)),"",M4/N4)</x:f>
        <x:v>0</x:v>
      </x:c>
    </x:row>
    <x:row r="5">
      <x:c r="A5" t="str">
        <x:v>NAVY</x:v>
      </x:c>
      <x:c r="B5" t="str">
        <x:v>United States Naval Academy</x:v>
      </x:c>
      <x:c r="C5" t="str">
        <x:v>FBS</x:v>
      </x:c>
      <x:c r="D5" t="str">
        <x:v>American Athletic</x:v>
      </x:c>
      <x:c r="E5" t="str">
        <x:v>Premier Atlantic</x:v>
      </x:c>
      <x:c r="F5" t="n">
        <x:v>2</x:v>
      </x:c>
      <x:c r="G5" t="n">
        <x:v>0.7169</x:v>
      </x:c>
      <x:c r="H5" t="n">
        <x:v>0.5038</x:v>
      </x:c>
      <x:c r="I5" t="n">
        <x:v>60.6493</x:v>
      </x:c>
      <x:c r="J5" t="n">
        <x:f>IF(ISNUMBER(I5),MAX(1,I5),1)</x:f>
        <x:v>60.6493</x:v>
      </x:c>
      <x:c r="K5"/>
      <x:c r="L5" t="str">
        <x:v>NOT VERIFIED</x:v>
      </x:c>
      <x:c r="M5" t="n">
        <x:f>IF(COUNTIFS('Conference pools'!$A$2:$A$25,D5,'Conference pools'!$D$2:$D$25,"&gt;=0")=0,"",SUMIF('Conference pools'!$A$2:$A$25,D5,'Conference pools'!$D$2:$D$25))</x:f>
        <x:v>0</x:v>
      </x:c>
      <x:c r="N5" t="n">
        <x:f>COUNTIF($D$2:$D$267,D5)</x:f>
        <x:v>14</x:v>
      </x:c>
      <x:c r="O5" t="n">
        <x:f>SUMIF($D$2:$D$267,D5,$J$2:$J$267)</x:f>
        <x:v>720.9868000000001</x:v>
      </x:c>
      <x:c r="P5" t="n">
        <x:f>IF(OR(NOT(ISNUMBER(M5)),O5=0),"",M5*('Conference pools'!$H$2/N5+'Conference pools'!$H$3*J5/O5))</x:f>
        <x:v>0</x:v>
      </x:c>
      <x:c r="Q5" t="n">
        <x:f>IF(COUNTIFS($E$2:$E$267,E5,$X$2:$X$267,"&lt;&gt;")&lt;&gt;COUNTIF($E$2:$E$267,E5),"",SUMIF($E$2:$E$267,E5,$X$2:$X$267))</x:f>
        <x:v>0</x:v>
      </x:c>
      <x:c r="R5" t="n">
        <x:f>COUNTIF($E$2:$E$267,E5)</x:f>
        <x:v>12</x:v>
      </x:c>
      <x:c r="S5" t="n">
        <x:f>SUMIF($E$2:$E$267,E5,$J$2:$J$267)</x:f>
        <x:v>704.0832</x:v>
      </x:c>
      <x:c r="T5" t="n">
        <x:f>IF(OR(NOT(ISNUMBER(Q5)),S5=0),"",Q5*('Conference pools'!$H$2/R5+'Conference pools'!$H$3*J5/S5))</x:f>
        <x:v>0</x:v>
      </x:c>
      <x:c r="U5" t="n">
        <x:f>IF(OR(NOT(ISNUMBER(P5)),NOT(ISNUMBER(T5))),"",T5-P5)</x:f>
        <x:v>0</x:v>
      </x:c>
      <x:c r="V5" s="8" t="str">
        <x:f>IF(OR(NOT(ISNUMBER(U5)),P5=0),"",U5/P5)</x:f>
      </x:c>
      <x:c r="W5" t="str">
        <x:f>IF(OR(NOT(ISNUMBER(T5)),NOT(ISNUMBER(K5))),"",T5-K5)</x:f>
      </x:c>
      <x:c r="X5" t="n">
        <x:f>IF(NOT(ISNUMBER(M5)),"",M5/N5)</x:f>
        <x:v>0</x:v>
      </x:c>
    </x:row>
    <x:row r="6">
      <x:c r="A6" t="str">
        <x:v>DUKE</x:v>
      </x:c>
      <x:c r="B6" t="str">
        <x:v>Duke University</x:v>
      </x:c>
      <x:c r="C6" t="str">
        <x:v>FBS</x:v>
      </x:c>
      <x:c r="D6" t="str">
        <x:v>Atlantic Coast Conference</x:v>
      </x:c>
      <x:c r="E6" t="str">
        <x:v>Premier Atlantic</x:v>
      </x:c>
      <x:c r="F6" t="n">
        <x:v>2</x:v>
      </x:c>
      <x:c r="G6" t="n">
        <x:v>0.6527</x:v>
      </x:c>
      <x:c r="H6" t="n">
        <x:v>0.5678</x:v>
      </x:c>
      <x:c r="I6" t="n">
        <x:v>59.9644</x:v>
      </x:c>
      <x:c r="J6" t="n">
        <x:f>IF(ISNUMBER(I6),MAX(1,I6),1)</x:f>
        <x:v>59.9644</x:v>
      </x:c>
      <x:c r="K6"/>
      <x:c r="L6" t="str">
        <x:v>NOT VERIFIED</x:v>
      </x:c>
      <x:c r="M6" t="n">
        <x:f>IF(COUNTIFS('Conference pools'!$A$2:$A$25,D6,'Conference pools'!$D$2:$D$25,"&gt;=0")=0,"",SUMIF('Conference pools'!$A$2:$A$25,D6,'Conference pools'!$D$2:$D$25))</x:f>
        <x:v>0</x:v>
      </x:c>
      <x:c r="N6" t="n">
        <x:f>COUNTIF($D$2:$D$267,D6)</x:f>
        <x:v>17</x:v>
      </x:c>
      <x:c r="O6" t="n">
        <x:f>SUMIF($D$2:$D$267,D6,$J$2:$J$267)</x:f>
        <x:v>952.8619000000001</x:v>
      </x:c>
      <x:c r="P6" t="n">
        <x:f>IF(OR(NOT(ISNUMBER(M6)),O6=0),"",M6*('Conference pools'!$H$2/N6+'Conference pools'!$H$3*J6/O6))</x:f>
        <x:v>0</x:v>
      </x:c>
      <x:c r="Q6" t="n">
        <x:f>IF(COUNTIFS($E$2:$E$267,E6,$X$2:$X$267,"&lt;&gt;")&lt;&gt;COUNTIF($E$2:$E$267,E6),"",SUMIF($E$2:$E$267,E6,$X$2:$X$267))</x:f>
        <x:v>0</x:v>
      </x:c>
      <x:c r="R6" t="n">
        <x:f>COUNTIF($E$2:$E$267,E6)</x:f>
        <x:v>12</x:v>
      </x:c>
      <x:c r="S6" t="n">
        <x:f>SUMIF($E$2:$E$267,E6,$J$2:$J$267)</x:f>
        <x:v>704.0832</x:v>
      </x:c>
      <x:c r="T6" t="n">
        <x:f>IF(OR(NOT(ISNUMBER(Q6)),S6=0),"",Q6*('Conference pools'!$H$2/R6+'Conference pools'!$H$3*J6/S6))</x:f>
        <x:v>0</x:v>
      </x:c>
      <x:c r="U6" t="n">
        <x:f>IF(OR(NOT(ISNUMBER(P6)),NOT(ISNUMBER(T6))),"",T6-P6)</x:f>
        <x:v>0</x:v>
      </x:c>
      <x:c r="V6" s="8" t="str">
        <x:f>IF(OR(NOT(ISNUMBER(U6)),P6=0),"",U6/P6)</x:f>
      </x:c>
      <x:c r="W6" t="str">
        <x:f>IF(OR(NOT(ISNUMBER(T6)),NOT(ISNUMBER(K6))),"",T6-K6)</x:f>
      </x:c>
      <x:c r="X6" t="n">
        <x:f>IF(NOT(ISNUMBER(M6)),"",M6/N6)</x:f>
        <x:v>0</x:v>
      </x:c>
    </x:row>
    <x:row r="7">
      <x:c r="A7" t="str">
        <x:v>ARMY</x:v>
      </x:c>
      <x:c r="B7" t="str">
        <x:v>United States Military Academy</x:v>
      </x:c>
      <x:c r="C7" t="str">
        <x:v>FBS</x:v>
      </x:c>
      <x:c r="D7" t="str">
        <x:v>American Athletic</x:v>
      </x:c>
      <x:c r="E7" t="str">
        <x:v>Premier Atlantic</x:v>
      </x:c>
      <x:c r="F7" t="n">
        <x:v>2</x:v>
      </x:c>
      <x:c r="G7" t="n">
        <x:v>0.6471</x:v>
      </x:c>
      <x:c r="H7" t="n">
        <x:v>0.5187</x:v>
      </x:c>
      <x:c r="I7" t="n">
        <x:v>59.0449</x:v>
      </x:c>
      <x:c r="J7" t="n">
        <x:f>IF(ISNUMBER(I7),MAX(1,I7),1)</x:f>
        <x:v>59.0449</x:v>
      </x:c>
      <x:c r="K7"/>
      <x:c r="L7" t="str">
        <x:v>NOT VERIFIED</x:v>
      </x:c>
      <x:c r="M7" t="n">
        <x:f>IF(COUNTIFS('Conference pools'!$A$2:$A$25,D7,'Conference pools'!$D$2:$D$25,"&gt;=0")=0,"",SUMIF('Conference pools'!$A$2:$A$25,D7,'Conference pools'!$D$2:$D$25))</x:f>
        <x:v>0</x:v>
      </x:c>
      <x:c r="N7" t="n">
        <x:f>COUNTIF($D$2:$D$267,D7)</x:f>
        <x:v>14</x:v>
      </x:c>
      <x:c r="O7" t="n">
        <x:f>SUMIF($D$2:$D$267,D7,$J$2:$J$267)</x:f>
        <x:v>720.9868000000001</x:v>
      </x:c>
      <x:c r="P7" t="n">
        <x:f>IF(OR(NOT(ISNUMBER(M7)),O7=0),"",M7*('Conference pools'!$H$2/N7+'Conference pools'!$H$3*J7/O7))</x:f>
        <x:v>0</x:v>
      </x:c>
      <x:c r="Q7" t="n">
        <x:f>IF(COUNTIFS($E$2:$E$267,E7,$X$2:$X$267,"&lt;&gt;")&lt;&gt;COUNTIF($E$2:$E$267,E7),"",SUMIF($E$2:$E$267,E7,$X$2:$X$267))</x:f>
        <x:v>0</x:v>
      </x:c>
      <x:c r="R7" t="n">
        <x:f>COUNTIF($E$2:$E$267,E7)</x:f>
        <x:v>12</x:v>
      </x:c>
      <x:c r="S7" t="n">
        <x:f>SUMIF($E$2:$E$267,E7,$J$2:$J$267)</x:f>
        <x:v>704.0832</x:v>
      </x:c>
      <x:c r="T7" t="n">
        <x:f>IF(OR(NOT(ISNUMBER(Q7)),S7=0),"",Q7*('Conference pools'!$H$2/R7+'Conference pools'!$H$3*J7/S7))</x:f>
        <x:v>0</x:v>
      </x:c>
      <x:c r="U7" t="n">
        <x:f>IF(OR(NOT(ISNUMBER(P7)),NOT(ISNUMBER(T7))),"",T7-P7)</x:f>
        <x:v>0</x:v>
      </x:c>
      <x:c r="V7" s="8" t="str">
        <x:f>IF(OR(NOT(ISNUMBER(U7)),P7=0),"",U7/P7)</x:f>
      </x:c>
      <x:c r="W7" t="str">
        <x:f>IF(OR(NOT(ISNUMBER(T7)),NOT(ISNUMBER(K7))),"",T7-K7)</x:f>
      </x:c>
      <x:c r="X7" t="n">
        <x:f>IF(NOT(ISNUMBER(M7)),"",M7/N7)</x:f>
        <x:v>0</x:v>
      </x:c>
    </x:row>
    <x:row r="8">
      <x:c r="A8" t="str">
        <x:v>LIBERTY</x:v>
      </x:c>
      <x:c r="B8" t="str">
        <x:v>Liberty University</x:v>
      </x:c>
      <x:c r="C8" t="str">
        <x:v>FBS</x:v>
      </x:c>
      <x:c r="D8" t="str">
        <x:v>Conference USA</x:v>
      </x:c>
      <x:c r="E8" t="str">
        <x:v>Premier Atlantic</x:v>
      </x:c>
      <x:c r="F8" t="n">
        <x:v>3</x:v>
      </x:c>
      <x:c r="G8" t="n">
        <x:v>0.6121</x:v>
      </x:c>
      <x:c r="H8" t="n">
        <x:v>0.477</x:v>
      </x:c>
      <x:c r="I8" t="n">
        <x:v>57.1906</x:v>
      </x:c>
      <x:c r="J8" t="n">
        <x:f>IF(ISNUMBER(I8),MAX(1,I8),1)</x:f>
        <x:v>57.1906</x:v>
      </x:c>
      <x:c r="K8"/>
      <x:c r="L8" t="str">
        <x:v>NOT VERIFIED</x:v>
      </x:c>
      <x:c r="M8" t="n">
        <x:f>IF(COUNTIFS('Conference pools'!$A$2:$A$25,D8,'Conference pools'!$D$2:$D$25,"&gt;=0")=0,"",SUMIF('Conference pools'!$A$2:$A$25,D8,'Conference pools'!$D$2:$D$25))</x:f>
        <x:v>0</x:v>
      </x:c>
      <x:c r="N8" t="n">
        <x:f>COUNTIF($D$2:$D$267,D8)</x:f>
        <x:v>10</x:v>
      </x:c>
      <x:c r="O8" t="n">
        <x:f>SUMIF($D$2:$D$267,D8,$J$2:$J$267)</x:f>
        <x:v>487.94570000000004</x:v>
      </x:c>
      <x:c r="P8" t="n">
        <x:f>IF(OR(NOT(ISNUMBER(M8)),O8=0),"",M8*('Conference pools'!$H$2/N8+'Conference pools'!$H$3*J8/O8))</x:f>
        <x:v>0</x:v>
      </x:c>
      <x:c r="Q8" t="n">
        <x:f>IF(COUNTIFS($E$2:$E$267,E8,$X$2:$X$267,"&lt;&gt;")&lt;&gt;COUNTIF($E$2:$E$267,E8),"",SUMIF($E$2:$E$267,E8,$X$2:$X$267))</x:f>
        <x:v>0</x:v>
      </x:c>
      <x:c r="R8" t="n">
        <x:f>COUNTIF($E$2:$E$267,E8)</x:f>
        <x:v>12</x:v>
      </x:c>
      <x:c r="S8" t="n">
        <x:f>SUMIF($E$2:$E$267,E8,$J$2:$J$267)</x:f>
        <x:v>704.0832</x:v>
      </x:c>
      <x:c r="T8" t="n">
        <x:f>IF(OR(NOT(ISNUMBER(Q8)),S8=0),"",Q8*('Conference pools'!$H$2/R8+'Conference pools'!$H$3*J8/S8))</x:f>
        <x:v>0</x:v>
      </x:c>
      <x:c r="U8" t="n">
        <x:f>IF(OR(NOT(ISNUMBER(P8)),NOT(ISNUMBER(T8))),"",T8-P8)</x:f>
        <x:v>0</x:v>
      </x:c>
      <x:c r="V8" s="8" t="str">
        <x:f>IF(OR(NOT(ISNUMBER(U8)),P8=0),"",U8/P8)</x:f>
      </x:c>
      <x:c r="W8" t="str">
        <x:f>IF(OR(NOT(ISNUMBER(T8)),NOT(ISNUMBER(K8))),"",T8-K8)</x:f>
      </x:c>
      <x:c r="X8" t="n">
        <x:f>IF(NOT(ISNUMBER(M8)),"",M8/N8)</x:f>
        <x:v>0</x:v>
      </x:c>
    </x:row>
    <x:row r="9">
      <x:c r="A9" t="str">
        <x:v>NC_STATE</x:v>
      </x:c>
      <x:c r="B9" t="str">
        <x:v>North Carolina State University</x:v>
      </x:c>
      <x:c r="C9" t="str">
        <x:v>FBS</x:v>
      </x:c>
      <x:c r="D9" t="str">
        <x:v>Atlantic Coast Conference</x:v>
      </x:c>
      <x:c r="E9" t="str">
        <x:v>Premier Atlantic</x:v>
      </x:c>
      <x:c r="F9" t="n">
        <x:v>2</x:v>
      </x:c>
      <x:c r="G9" t="n">
        <x:v>0.5818</x:v>
      </x:c>
      <x:c r="H9" t="n">
        <x:v>0.559</x:v>
      </x:c>
      <x:c r="I9" t="n">
        <x:v>58.0835</x:v>
      </x:c>
      <x:c r="J9" t="n">
        <x:f>IF(ISNUMBER(I9),MAX(1,I9),1)</x:f>
        <x:v>58.0835</x:v>
      </x:c>
      <x:c r="K9"/>
      <x:c r="L9" t="str">
        <x:v>NOT VERIFIED</x:v>
      </x:c>
      <x:c r="M9" t="n">
        <x:f>IF(COUNTIFS('Conference pools'!$A$2:$A$25,D9,'Conference pools'!$D$2:$D$25,"&gt;=0")=0,"",SUMIF('Conference pools'!$A$2:$A$25,D9,'Conference pools'!$D$2:$D$25))</x:f>
        <x:v>0</x:v>
      </x:c>
      <x:c r="N9" t="n">
        <x:f>COUNTIF($D$2:$D$267,D9)</x:f>
        <x:v>17</x:v>
      </x:c>
      <x:c r="O9" t="n">
        <x:f>SUMIF($D$2:$D$267,D9,$J$2:$J$267)</x:f>
        <x:v>952.8619000000001</x:v>
      </x:c>
      <x:c r="P9" t="n">
        <x:f>IF(OR(NOT(ISNUMBER(M9)),O9=0),"",M9*('Conference pools'!$H$2/N9+'Conference pools'!$H$3*J9/O9))</x:f>
        <x:v>0</x:v>
      </x:c>
      <x:c r="Q9" t="n">
        <x:f>IF(COUNTIFS($E$2:$E$267,E9,$X$2:$X$267,"&lt;&gt;")&lt;&gt;COUNTIF($E$2:$E$267,E9),"",SUMIF($E$2:$E$267,E9,$X$2:$X$267))</x:f>
        <x:v>0</x:v>
      </x:c>
      <x:c r="R9" t="n">
        <x:f>COUNTIF($E$2:$E$267,E9)</x:f>
        <x:v>12</x:v>
      </x:c>
      <x:c r="S9" t="n">
        <x:f>SUMIF($E$2:$E$267,E9,$J$2:$J$267)</x:f>
        <x:v>704.0832</x:v>
      </x:c>
      <x:c r="T9" t="n">
        <x:f>IF(OR(NOT(ISNUMBER(Q9)),S9=0),"",Q9*('Conference pools'!$H$2/R9+'Conference pools'!$H$3*J9/S9))</x:f>
        <x:v>0</x:v>
      </x:c>
      <x:c r="U9" t="n">
        <x:f>IF(OR(NOT(ISNUMBER(P9)),NOT(ISNUMBER(T9))),"",T9-P9)</x:f>
        <x:v>0</x:v>
      </x:c>
      <x:c r="V9" s="8" t="str">
        <x:f>IF(OR(NOT(ISNUMBER(U9)),P9=0),"",U9/P9)</x:f>
      </x:c>
      <x:c r="W9" t="str">
        <x:f>IF(OR(NOT(ISNUMBER(T9)),NOT(ISNUMBER(K9))),"",T9-K9)</x:f>
      </x:c>
      <x:c r="X9" t="n">
        <x:f>IF(NOT(ISNUMBER(M9)),"",M9/N9)</x:f>
        <x:v>0</x:v>
      </x:c>
    </x:row>
    <x:row r="10">
      <x:c r="A10" t="str">
        <x:v>UCONN</x:v>
      </x:c>
      <x:c r="B10" t="str">
        <x:v>University of Connecticut</x:v>
      </x:c>
      <x:c r="C10" t="str">
        <x:v>FBS</x:v>
      </x:c>
      <x:c r="D10" t="str">
        <x:v>Independent</x:v>
      </x:c>
      <x:c r="E10" t="str">
        <x:v>Premier Atlantic</x:v>
      </x:c>
      <x:c r="F10" t="n">
        <x:v>5</x:v>
      </x:c>
      <x:c r="G10" t="n">
        <x:v>0.587</x:v>
      </x:c>
      <x:c r="H10" t="n">
        <x:v>0.4349</x:v>
      </x:c>
      <x:c r="I10" t="n">
        <x:v>50.5647</x:v>
      </x:c>
      <x:c r="J10" t="n">
        <x:f>IF(ISNUMBER(I10),MAX(1,I10),1)</x:f>
        <x:v>50.5647</x:v>
      </x:c>
      <x:c r="K10"/>
      <x:c r="L10" t="str">
        <x:v>NOT VERIFIED</x:v>
      </x:c>
      <x:c r="M10" t="n">
        <x:f>IF(COUNTIFS('Conference pools'!$A$2:$A$25,D10,'Conference pools'!$D$2:$D$25,"&gt;=0")=0,"",SUMIF('Conference pools'!$A$2:$A$25,D10,'Conference pools'!$D$2:$D$25))</x:f>
        <x:v>0</x:v>
      </x:c>
      <x:c r="N10" t="n">
        <x:f>COUNTIF($D$2:$D$267,D10)</x:f>
        <x:v>4</x:v>
      </x:c>
      <x:c r="O10" t="n">
        <x:f>SUMIF($D$2:$D$267,D10,$J$2:$J$267)</x:f>
        <x:v>208.1923</x:v>
      </x:c>
      <x:c r="P10" t="n">
        <x:f>IF(OR(NOT(ISNUMBER(M10)),O10=0),"",M10*('Conference pools'!$H$2/N10+'Conference pools'!$H$3*J10/O10))</x:f>
        <x:v>0</x:v>
      </x:c>
      <x:c r="Q10" t="n">
        <x:f>IF(COUNTIFS($E$2:$E$267,E10,$X$2:$X$267,"&lt;&gt;")&lt;&gt;COUNTIF($E$2:$E$267,E10),"",SUMIF($E$2:$E$267,E10,$X$2:$X$267))</x:f>
        <x:v>0</x:v>
      </x:c>
      <x:c r="R10" t="n">
        <x:f>COUNTIF($E$2:$E$267,E10)</x:f>
        <x:v>12</x:v>
      </x:c>
      <x:c r="S10" t="n">
        <x:f>SUMIF($E$2:$E$267,E10,$J$2:$J$267)</x:f>
        <x:v>704.0832</x:v>
      </x:c>
      <x:c r="T10" t="n">
        <x:f>IF(OR(NOT(ISNUMBER(Q10)),S10=0),"",Q10*('Conference pools'!$H$2/R10+'Conference pools'!$H$3*J10/S10))</x:f>
        <x:v>0</x:v>
      </x:c>
      <x:c r="U10" t="n">
        <x:f>IF(OR(NOT(ISNUMBER(P10)),NOT(ISNUMBER(T10))),"",T10-P10)</x:f>
        <x:v>0</x:v>
      </x:c>
      <x:c r="V10" s="8" t="str">
        <x:f>IF(OR(NOT(ISNUMBER(U10)),P10=0),"",U10/P10)</x:f>
      </x:c>
      <x:c r="W10" t="str">
        <x:f>IF(OR(NOT(ISNUMBER(T10)),NOT(ISNUMBER(K10))),"",T10-K10)</x:f>
      </x:c>
      <x:c r="X10" t="n">
        <x:f>IF(NOT(ISNUMBER(M10)),"",M10/N10)</x:f>
        <x:v>0</x:v>
      </x:c>
    </x:row>
    <x:row r="11">
      <x:c r="A11" t="str">
        <x:v>EAST_CAROLINA</x:v>
      </x:c>
      <x:c r="B11" t="str">
        <x:v>East Carolina University</x:v>
      </x:c>
      <x:c r="C11" t="str">
        <x:v>FBS</x:v>
      </x:c>
      <x:c r="D11" t="str">
        <x:v>American Athletic</x:v>
      </x:c>
      <x:c r="E11" t="str">
        <x:v>Premier Atlantic</x:v>
      </x:c>
      <x:c r="F11" t="n">
        <x:v>4</x:v>
      </x:c>
      <x:c r="G11" t="n">
        <x:v>0.5401</x:v>
      </x:c>
      <x:c r="H11" t="n">
        <x:v>0.5003</x:v>
      </x:c>
      <x:c r="I11" t="n">
        <x:v>53.1046</x:v>
      </x:c>
      <x:c r="J11" t="n">
        <x:f>IF(ISNUMBER(I11),MAX(1,I11),1)</x:f>
        <x:v>53.1046</x:v>
      </x:c>
      <x:c r="K11"/>
      <x:c r="L11" t="str">
        <x:v>NOT VERIFIED</x:v>
      </x:c>
      <x:c r="M11" t="n">
        <x:f>IF(COUNTIFS('Conference pools'!$A$2:$A$25,D11,'Conference pools'!$D$2:$D$25,"&gt;=0")=0,"",SUMIF('Conference pools'!$A$2:$A$25,D11,'Conference pools'!$D$2:$D$25))</x:f>
        <x:v>0</x:v>
      </x:c>
      <x:c r="N11" t="n">
        <x:f>COUNTIF($D$2:$D$267,D11)</x:f>
        <x:v>14</x:v>
      </x:c>
      <x:c r="O11" t="n">
        <x:f>SUMIF($D$2:$D$267,D11,$J$2:$J$267)</x:f>
        <x:v>720.9868000000001</x:v>
      </x:c>
      <x:c r="P11" t="n">
        <x:f>IF(OR(NOT(ISNUMBER(M11)),O11=0),"",M11*('Conference pools'!$H$2/N11+'Conference pools'!$H$3*J11/O11))</x:f>
        <x:v>0</x:v>
      </x:c>
      <x:c r="Q11" t="n">
        <x:f>IF(COUNTIFS($E$2:$E$267,E11,$X$2:$X$267,"&lt;&gt;")&lt;&gt;COUNTIF($E$2:$E$267,E11),"",SUMIF($E$2:$E$267,E11,$X$2:$X$267))</x:f>
        <x:v>0</x:v>
      </x:c>
      <x:c r="R11" t="n">
        <x:f>COUNTIF($E$2:$E$267,E11)</x:f>
        <x:v>12</x:v>
      </x:c>
      <x:c r="S11" t="n">
        <x:f>SUMIF($E$2:$E$267,E11,$J$2:$J$267)</x:f>
        <x:v>704.0832</x:v>
      </x:c>
      <x:c r="T11" t="n">
        <x:f>IF(OR(NOT(ISNUMBER(Q11)),S11=0),"",Q11*('Conference pools'!$H$2/R11+'Conference pools'!$H$3*J11/S11))</x:f>
        <x:v>0</x:v>
      </x:c>
      <x:c r="U11" t="n">
        <x:f>IF(OR(NOT(ISNUMBER(P11)),NOT(ISNUMBER(T11))),"",T11-P11)</x:f>
        <x:v>0</x:v>
      </x:c>
      <x:c r="V11" s="8" t="str">
        <x:f>IF(OR(NOT(ISNUMBER(U11)),P11=0),"",U11/P11)</x:f>
      </x:c>
      <x:c r="W11" t="str">
        <x:f>IF(OR(NOT(ISNUMBER(T11)),NOT(ISNUMBER(K11))),"",T11-K11)</x:f>
      </x:c>
      <x:c r="X11" t="n">
        <x:f>IF(NOT(ISNUMBER(M11)),"",M11/N11)</x:f>
        <x:v>0</x:v>
      </x:c>
    </x:row>
    <x:row r="12">
      <x:c r="A12" t="str">
        <x:v>OLD_DOMINION</x:v>
      </x:c>
      <x:c r="B12" t="str">
        <x:v>Old Dominion University</x:v>
      </x:c>
      <x:c r="C12" t="str">
        <x:v>FBS</x:v>
      </x:c>
      <x:c r="D12" t="str">
        <x:v>Sun Belt</x:v>
      </x:c>
      <x:c r="E12" t="str">
        <x:v>Premier Atlantic</x:v>
      </x:c>
      <x:c r="F12" t="n">
        <x:v>4</x:v>
      </x:c>
      <x:c r="G12" t="n">
        <x:v>0.574</x:v>
      </x:c>
      <x:c r="H12" t="n">
        <x:v>0.529</x:v>
      </x:c>
      <x:c r="I12" t="n">
        <x:v>54.1657</x:v>
      </x:c>
      <x:c r="J12" t="n">
        <x:f>IF(ISNUMBER(I12),MAX(1,I12),1)</x:f>
        <x:v>54.1657</x:v>
      </x:c>
      <x:c r="K12"/>
      <x:c r="L12" t="str">
        <x:v>NOT VERIFIED</x:v>
      </x:c>
      <x:c r="M12" t="n">
        <x:f>IF(COUNTIFS('Conference pools'!$A$2:$A$25,D12,'Conference pools'!$D$2:$D$25,"&gt;=0")=0,"",SUMIF('Conference pools'!$A$2:$A$25,D12,'Conference pools'!$D$2:$D$25))</x:f>
        <x:v>0</x:v>
      </x:c>
      <x:c r="N12" t="n">
        <x:f>COUNTIF($D$2:$D$267,D12)</x:f>
        <x:v>13</x:v>
      </x:c>
      <x:c r="O12" t="n">
        <x:f>SUMIF($D$2:$D$267,D12,$J$2:$J$267)</x:f>
        <x:v>670.3176</x:v>
      </x:c>
      <x:c r="P12" t="n">
        <x:f>IF(OR(NOT(ISNUMBER(M12)),O12=0),"",M12*('Conference pools'!$H$2/N12+'Conference pools'!$H$3*J12/O12))</x:f>
        <x:v>0</x:v>
      </x:c>
      <x:c r="Q12" t="n">
        <x:f>IF(COUNTIFS($E$2:$E$267,E12,$X$2:$X$267,"&lt;&gt;")&lt;&gt;COUNTIF($E$2:$E$267,E12),"",SUMIF($E$2:$E$267,E12,$X$2:$X$267))</x:f>
        <x:v>0</x:v>
      </x:c>
      <x:c r="R12" t="n">
        <x:f>COUNTIF($E$2:$E$267,E12)</x:f>
        <x:v>12</x:v>
      </x:c>
      <x:c r="S12" t="n">
        <x:f>SUMIF($E$2:$E$267,E12,$J$2:$J$267)</x:f>
        <x:v>704.0832</x:v>
      </x:c>
      <x:c r="T12" t="n">
        <x:f>IF(OR(NOT(ISNUMBER(Q12)),S12=0),"",Q12*('Conference pools'!$H$2/R12+'Conference pools'!$H$3*J12/S12))</x:f>
        <x:v>0</x:v>
      </x:c>
      <x:c r="U12" t="n">
        <x:f>IF(OR(NOT(ISNUMBER(P12)),NOT(ISNUMBER(T12))),"",T12-P12)</x:f>
        <x:v>0</x:v>
      </x:c>
      <x:c r="V12" s="8" t="str">
        <x:f>IF(OR(NOT(ISNUMBER(U12)),P12=0),"",U12/P12)</x:f>
      </x:c>
      <x:c r="W12" t="str">
        <x:f>IF(OR(NOT(ISNUMBER(T12)),NOT(ISNUMBER(K12))),"",T12-K12)</x:f>
      </x:c>
      <x:c r="X12" t="n">
        <x:f>IF(NOT(ISNUMBER(M12)),"",M12/N12)</x:f>
        <x:v>0</x:v>
      </x:c>
    </x:row>
    <x:row r="13">
      <x:c r="A13" t="str">
        <x:v>PITTSBURGH</x:v>
      </x:c>
      <x:c r="B13" t="str">
        <x:v>University of Pittsburgh</x:v>
      </x:c>
      <x:c r="C13" t="str">
        <x:v>FBS</x:v>
      </x:c>
      <x:c r="D13" t="str">
        <x:v>Atlantic Coast Conference</x:v>
      </x:c>
      <x:c r="E13" t="str">
        <x:v>Premier Atlantic</x:v>
      </x:c>
      <x:c r="F13" t="n">
        <x:v>3</x:v>
      </x:c>
      <x:c r="G13" t="n">
        <x:v>0.5014</x:v>
      </x:c>
      <x:c r="H13" t="n">
        <x:v>0.5317</x:v>
      </x:c>
      <x:c r="I13" t="n">
        <x:v>54.7775</x:v>
      </x:c>
      <x:c r="J13" t="n">
        <x:f>IF(ISNUMBER(I13),MAX(1,I13),1)</x:f>
        <x:v>54.7775</x:v>
      </x:c>
      <x:c r="K13"/>
      <x:c r="L13" t="str">
        <x:v>NOT VERIFIED</x:v>
      </x:c>
      <x:c r="M13" t="n">
        <x:f>IF(COUNTIFS('Conference pools'!$A$2:$A$25,D13,'Conference pools'!$D$2:$D$25,"&gt;=0")=0,"",SUMIF('Conference pools'!$A$2:$A$25,D13,'Conference pools'!$D$2:$D$25))</x:f>
        <x:v>0</x:v>
      </x:c>
      <x:c r="N13" t="n">
        <x:f>COUNTIF($D$2:$D$267,D13)</x:f>
        <x:v>17</x:v>
      </x:c>
      <x:c r="O13" t="n">
        <x:f>SUMIF($D$2:$D$267,D13,$J$2:$J$267)</x:f>
        <x:v>952.8619000000001</x:v>
      </x:c>
      <x:c r="P13" t="n">
        <x:f>IF(OR(NOT(ISNUMBER(M13)),O13=0),"",M13*('Conference pools'!$H$2/N13+'Conference pools'!$H$3*J13/O13))</x:f>
        <x:v>0</x:v>
      </x:c>
      <x:c r="Q13" t="n">
        <x:f>IF(COUNTIFS($E$2:$E$267,E13,$X$2:$X$267,"&lt;&gt;")&lt;&gt;COUNTIF($E$2:$E$267,E13),"",SUMIF($E$2:$E$267,E13,$X$2:$X$267))</x:f>
        <x:v>0</x:v>
      </x:c>
      <x:c r="R13" t="n">
        <x:f>COUNTIF($E$2:$E$267,E13)</x:f>
        <x:v>12</x:v>
      </x:c>
      <x:c r="S13" t="n">
        <x:f>SUMIF($E$2:$E$267,E13,$J$2:$J$267)</x:f>
        <x:v>704.0832</x:v>
      </x:c>
      <x:c r="T13" t="n">
        <x:f>IF(OR(NOT(ISNUMBER(Q13)),S13=0),"",Q13*('Conference pools'!$H$2/R13+'Conference pools'!$H$3*J13/S13))</x:f>
        <x:v>0</x:v>
      </x:c>
      <x:c r="U13" t="n">
        <x:f>IF(OR(NOT(ISNUMBER(P13)),NOT(ISNUMBER(T13))),"",T13-P13)</x:f>
        <x:v>0</x:v>
      </x:c>
      <x:c r="V13" s="8" t="str">
        <x:f>IF(OR(NOT(ISNUMBER(U13)),P13=0),"",U13/P13)</x:f>
      </x:c>
      <x:c r="W13" t="str">
        <x:f>IF(OR(NOT(ISNUMBER(T13)),NOT(ISNUMBER(K13))),"",T13-K13)</x:f>
      </x:c>
      <x:c r="X13" t="n">
        <x:f>IF(NOT(ISNUMBER(M13)),"",M13/N13)</x:f>
        <x:v>0</x:v>
      </x:c>
    </x:row>
    <x:row r="14">
      <x:c r="A14" t="str">
        <x:v>OHIO_STATE</x:v>
      </x:c>
      <x:c r="B14" t="str">
        <x:v>Ohio State University</x:v>
      </x:c>
      <x:c r="C14" t="str">
        <x:v>FBS</x:v>
      </x:c>
      <x:c r="D14" t="str">
        <x:v>Big Ten</x:v>
      </x:c>
      <x:c r="E14" t="str">
        <x:v>Premier Great Lakes</x:v>
      </x:c>
      <x:c r="F14" t="n">
        <x:v>1</x:v>
      </x:c>
      <x:c r="G14" t="n">
        <x:v>0.8615</x:v>
      </x:c>
      <x:c r="H14" t="n">
        <x:v>0.6068</x:v>
      </x:c>
      <x:c r="I14" t="n">
        <x:v>78.5783</x:v>
      </x:c>
      <x:c r="J14" t="n">
        <x:f>IF(ISNUMBER(I14),MAX(1,I14),1)</x:f>
        <x:v>78.5783</x:v>
      </x:c>
      <x:c r="K14"/>
      <x:c r="L14" t="str">
        <x:v>NOT VERIFIED</x:v>
      </x:c>
      <x:c r="M14" t="n">
        <x:f>IF(COUNTIFS('Conference pools'!$A$2:$A$25,D14,'Conference pools'!$D$2:$D$25,"&gt;=0")=0,"",SUMIF('Conference pools'!$A$2:$A$25,D14,'Conference pools'!$D$2:$D$25))</x:f>
        <x:v>0</x:v>
      </x:c>
      <x:c r="N14" t="n">
        <x:f>COUNTIF($D$2:$D$267,D14)</x:f>
        <x:v>18</x:v>
      </x:c>
      <x:c r="O14" t="n">
        <x:f>SUMIF($D$2:$D$267,D14,$J$2:$J$267)</x:f>
        <x:v>1068.7005</x:v>
      </x:c>
      <x:c r="P14" t="n">
        <x:f>IF(OR(NOT(ISNUMBER(M14)),O14=0),"",M14*('Conference pools'!$H$2/N14+'Conference pools'!$H$3*J14/O14))</x:f>
        <x:v>0</x:v>
      </x:c>
      <x:c r="Q14" t="n">
        <x:f>IF(COUNTIFS($E$2:$E$267,E14,$X$2:$X$267,"&lt;&gt;")&lt;&gt;COUNTIF($E$2:$E$267,E14),"",SUMIF($E$2:$E$267,E14,$X$2:$X$267))</x:f>
        <x:v>0</x:v>
      </x:c>
      <x:c r="R14" t="n">
        <x:f>COUNTIF($E$2:$E$267,E14)</x:f>
        <x:v>12</x:v>
      </x:c>
      <x:c r="S14" t="n">
        <x:f>SUMIF($E$2:$E$267,E14,$J$2:$J$267)</x:f>
        <x:v>753.5634</x:v>
      </x:c>
      <x:c r="T14" t="n">
        <x:f>IF(OR(NOT(ISNUMBER(Q14)),S14=0),"",Q14*('Conference pools'!$H$2/R14+'Conference pools'!$H$3*J14/S14))</x:f>
        <x:v>0</x:v>
      </x:c>
      <x:c r="U14" t="n">
        <x:f>IF(OR(NOT(ISNUMBER(P14)),NOT(ISNUMBER(T14))),"",T14-P14)</x:f>
        <x:v>0</x:v>
      </x:c>
      <x:c r="V14" s="8" t="str">
        <x:f>IF(OR(NOT(ISNUMBER(U14)),P14=0),"",U14/P14)</x:f>
      </x:c>
      <x:c r="W14" t="str">
        <x:f>IF(OR(NOT(ISNUMBER(T14)),NOT(ISNUMBER(K14))),"",T14-K14)</x:f>
      </x:c>
      <x:c r="X14" t="n">
        <x:f>IF(NOT(ISNUMBER(M14)),"",M14/N14)</x:f>
        <x:v>0</x:v>
      </x:c>
    </x:row>
    <x:row r="15">
      <x:c r="A15" t="str">
        <x:v>NOTRE_DAME</x:v>
      </x:c>
      <x:c r="B15" t="str">
        <x:v>University of Notre Dame</x:v>
      </x:c>
      <x:c r="C15" t="str">
        <x:v>FBS</x:v>
      </x:c>
      <x:c r="D15" t="str">
        <x:v>Independent</x:v>
      </x:c>
      <x:c r="E15" t="str">
        <x:v>Premier Great Lakes</x:v>
      </x:c>
      <x:c r="F15" t="n">
        <x:v>1</x:v>
      </x:c>
      <x:c r="G15" t="n">
        <x:v>0.8347</x:v>
      </x:c>
      <x:c r="H15" t="n">
        <x:v>0.552</x:v>
      </x:c>
      <x:c r="I15" t="n">
        <x:v>74.5316</x:v>
      </x:c>
      <x:c r="J15" t="n">
        <x:f>IF(ISNUMBER(I15),MAX(1,I15),1)</x:f>
        <x:v>74.5316</x:v>
      </x:c>
      <x:c r="K15"/>
      <x:c r="L15" t="str">
        <x:v>NOT VERIFIED</x:v>
      </x:c>
      <x:c r="M15" t="n">
        <x:f>IF(COUNTIFS('Conference pools'!$A$2:$A$25,D15,'Conference pools'!$D$2:$D$25,"&gt;=0")=0,"",SUMIF('Conference pools'!$A$2:$A$25,D15,'Conference pools'!$D$2:$D$25))</x:f>
        <x:v>0</x:v>
      </x:c>
      <x:c r="N15" t="n">
        <x:f>COUNTIF($D$2:$D$267,D15)</x:f>
        <x:v>4</x:v>
      </x:c>
      <x:c r="O15" t="n">
        <x:f>SUMIF($D$2:$D$267,D15,$J$2:$J$267)</x:f>
        <x:v>208.1923</x:v>
      </x:c>
      <x:c r="P15" t="n">
        <x:f>IF(OR(NOT(ISNUMBER(M15)),O15=0),"",M15*('Conference pools'!$H$2/N15+'Conference pools'!$H$3*J15/O15))</x:f>
        <x:v>0</x:v>
      </x:c>
      <x:c r="Q15" t="n">
        <x:f>IF(COUNTIFS($E$2:$E$267,E15,$X$2:$X$267,"&lt;&gt;")&lt;&gt;COUNTIF($E$2:$E$267,E15),"",SUMIF($E$2:$E$267,E15,$X$2:$X$267))</x:f>
        <x:v>0</x:v>
      </x:c>
      <x:c r="R15" t="n">
        <x:f>COUNTIF($E$2:$E$267,E15)</x:f>
        <x:v>12</x:v>
      </x:c>
      <x:c r="S15" t="n">
        <x:f>SUMIF($E$2:$E$267,E15,$J$2:$J$267)</x:f>
        <x:v>753.5634</x:v>
      </x:c>
      <x:c r="T15" t="n">
        <x:f>IF(OR(NOT(ISNUMBER(Q15)),S15=0),"",Q15*('Conference pools'!$H$2/R15+'Conference pools'!$H$3*J15/S15))</x:f>
        <x:v>0</x:v>
      </x:c>
      <x:c r="U15" t="n">
        <x:f>IF(OR(NOT(ISNUMBER(P15)),NOT(ISNUMBER(T15))),"",T15-P15)</x:f>
        <x:v>0</x:v>
      </x:c>
      <x:c r="V15" s="8" t="str">
        <x:f>IF(OR(NOT(ISNUMBER(U15)),P15=0),"",U15/P15)</x:f>
      </x:c>
      <x:c r="W15" t="str">
        <x:f>IF(OR(NOT(ISNUMBER(T15)),NOT(ISNUMBER(K15))),"",T15-K15)</x:f>
      </x:c>
      <x:c r="X15" t="n">
        <x:f>IF(NOT(ISNUMBER(M15)),"",M15/N15)</x:f>
        <x:v>0</x:v>
      </x:c>
    </x:row>
    <x:row r="16">
      <x:c r="A16" t="str">
        <x:v>MICHIGAN</x:v>
      </x:c>
      <x:c r="B16" t="str">
        <x:v>University of Michigan</x:v>
      </x:c>
      <x:c r="C16" t="str">
        <x:v>FBS</x:v>
      </x:c>
      <x:c r="D16" t="str">
        <x:v>Big Ten</x:v>
      </x:c>
      <x:c r="E16" t="str">
        <x:v>Premier Great Lakes</x:v>
      </x:c>
      <x:c r="F16" t="n">
        <x:v>1</x:v>
      </x:c>
      <x:c r="G16" t="n">
        <x:v>0.7532</x:v>
      </x:c>
      <x:c r="H16" t="n">
        <x:v>0.5873</x:v>
      </x:c>
      <x:c r="I16" t="n">
        <x:v>69.8727</x:v>
      </x:c>
      <x:c r="J16" t="n">
        <x:f>IF(ISNUMBER(I16),MAX(1,I16),1)</x:f>
        <x:v>69.8727</x:v>
      </x:c>
      <x:c r="K16"/>
      <x:c r="L16" t="str">
        <x:v>NOT VERIFIED</x:v>
      </x:c>
      <x:c r="M16" t="n">
        <x:f>IF(COUNTIFS('Conference pools'!$A$2:$A$25,D16,'Conference pools'!$D$2:$D$25,"&gt;=0")=0,"",SUMIF('Conference pools'!$A$2:$A$25,D16,'Conference pools'!$D$2:$D$25))</x:f>
        <x:v>0</x:v>
      </x:c>
      <x:c r="N16" t="n">
        <x:f>COUNTIF($D$2:$D$267,D16)</x:f>
        <x:v>18</x:v>
      </x:c>
      <x:c r="O16" t="n">
        <x:f>SUMIF($D$2:$D$267,D16,$J$2:$J$267)</x:f>
        <x:v>1068.7005</x:v>
      </x:c>
      <x:c r="P16" t="n">
        <x:f>IF(OR(NOT(ISNUMBER(M16)),O16=0),"",M16*('Conference pools'!$H$2/N16+'Conference pools'!$H$3*J16/O16))</x:f>
        <x:v>0</x:v>
      </x:c>
      <x:c r="Q16" t="n">
        <x:f>IF(COUNTIFS($E$2:$E$267,E16,$X$2:$X$267,"&lt;&gt;")&lt;&gt;COUNTIF($E$2:$E$267,E16),"",SUMIF($E$2:$E$267,E16,$X$2:$X$267))</x:f>
        <x:v>0</x:v>
      </x:c>
      <x:c r="R16" t="n">
        <x:f>COUNTIF($E$2:$E$267,E16)</x:f>
        <x:v>12</x:v>
      </x:c>
      <x:c r="S16" t="n">
        <x:f>SUMIF($E$2:$E$267,E16,$J$2:$J$267)</x:f>
        <x:v>753.5634</x:v>
      </x:c>
      <x:c r="T16" t="n">
        <x:f>IF(OR(NOT(ISNUMBER(Q16)),S16=0),"",Q16*('Conference pools'!$H$2/R16+'Conference pools'!$H$3*J16/S16))</x:f>
        <x:v>0</x:v>
      </x:c>
      <x:c r="U16" t="n">
        <x:f>IF(OR(NOT(ISNUMBER(P16)),NOT(ISNUMBER(T16))),"",T16-P16)</x:f>
        <x:v>0</x:v>
      </x:c>
      <x:c r="V16" s="8" t="str">
        <x:f>IF(OR(NOT(ISNUMBER(U16)),P16=0),"",U16/P16)</x:f>
      </x:c>
      <x:c r="W16" t="str">
        <x:f>IF(OR(NOT(ISNUMBER(T16)),NOT(ISNUMBER(K16))),"",T16-K16)</x:f>
      </x:c>
      <x:c r="X16" t="n">
        <x:f>IF(NOT(ISNUMBER(M16)),"",M16/N16)</x:f>
        <x:v>0</x:v>
      </x:c>
    </x:row>
    <x:row r="17">
      <x:c r="A17" t="str">
        <x:v>TENNESSEE</x:v>
      </x:c>
      <x:c r="B17" t="str">
        <x:v>University of Tennessee Knoxville</x:v>
      </x:c>
      <x:c r="C17" t="str">
        <x:v>FBS</x:v>
      </x:c>
      <x:c r="D17" t="str">
        <x:v>Southeastern Conference</x:v>
      </x:c>
      <x:c r="E17" t="str">
        <x:v>Premier Great Lakes</x:v>
      </x:c>
      <x:c r="F17" t="n">
        <x:v>1</x:v>
      </x:c>
      <x:c r="G17" t="n">
        <x:v>0.6879</x:v>
      </x:c>
      <x:c r="H17" t="n">
        <x:v>0.5154</x:v>
      </x:c>
      <x:c r="I17" t="n">
        <x:v>64.0957</x:v>
      </x:c>
      <x:c r="J17" t="n">
        <x:f>IF(ISNUMBER(I17),MAX(1,I17),1)</x:f>
        <x:v>64.0957</x:v>
      </x:c>
      <x:c r="K17"/>
      <x:c r="L17" t="str">
        <x:v>NOT VERIFIED</x:v>
      </x:c>
      <x:c r="M17" t="n">
        <x:f>IF(COUNTIFS('Conference pools'!$A$2:$A$25,D17,'Conference pools'!$D$2:$D$25,"&gt;=0")=0,"",SUMIF('Conference pools'!$A$2:$A$25,D17,'Conference pools'!$D$2:$D$25))</x:f>
        <x:v>0</x:v>
      </x:c>
      <x:c r="N17" t="n">
        <x:f>COUNTIF($D$2:$D$267,D17)</x:f>
        <x:v>16</x:v>
      </x:c>
      <x:c r="O17" t="n">
        <x:f>SUMIF($D$2:$D$267,D17,$J$2:$J$267)</x:f>
        <x:v>979.9415</x:v>
      </x:c>
      <x:c r="P17" t="n">
        <x:f>IF(OR(NOT(ISNUMBER(M17)),O17=0),"",M17*('Conference pools'!$H$2/N17+'Conference pools'!$H$3*J17/O17))</x:f>
        <x:v>0</x:v>
      </x:c>
      <x:c r="Q17" t="n">
        <x:f>IF(COUNTIFS($E$2:$E$267,E17,$X$2:$X$267,"&lt;&gt;")&lt;&gt;COUNTIF($E$2:$E$267,E17),"",SUMIF($E$2:$E$267,E17,$X$2:$X$267))</x:f>
        <x:v>0</x:v>
      </x:c>
      <x:c r="R17" t="n">
        <x:f>COUNTIF($E$2:$E$267,E17)</x:f>
        <x:v>12</x:v>
      </x:c>
      <x:c r="S17" t="n">
        <x:f>SUMIF($E$2:$E$267,E17,$J$2:$J$267)</x:f>
        <x:v>753.5634</x:v>
      </x:c>
      <x:c r="T17" t="n">
        <x:f>IF(OR(NOT(ISNUMBER(Q17)),S17=0),"",Q17*('Conference pools'!$H$2/R17+'Conference pools'!$H$3*J17/S17))</x:f>
        <x:v>0</x:v>
      </x:c>
      <x:c r="U17" t="n">
        <x:f>IF(OR(NOT(ISNUMBER(P17)),NOT(ISNUMBER(T17))),"",T17-P17)</x:f>
        <x:v>0</x:v>
      </x:c>
      <x:c r="V17" s="8" t="str">
        <x:f>IF(OR(NOT(ISNUMBER(U17)),P17=0),"",U17/P17)</x:f>
      </x:c>
      <x:c r="W17" t="str">
        <x:f>IF(OR(NOT(ISNUMBER(T17)),NOT(ISNUMBER(K17))),"",T17-K17)</x:f>
      </x:c>
      <x:c r="X17" t="n">
        <x:f>IF(NOT(ISNUMBER(M17)),"",M17/N17)</x:f>
        <x:v>0</x:v>
      </x:c>
    </x:row>
    <x:row r="18">
      <x:c r="A18" t="str">
        <x:v>INDIANA</x:v>
      </x:c>
      <x:c r="B18" t="str">
        <x:v>Indiana University Bloomington</x:v>
      </x:c>
      <x:c r="C18" t="str">
        <x:v>FBS</x:v>
      </x:c>
      <x:c r="D18" t="str">
        <x:v>Big Ten</x:v>
      </x:c>
      <x:c r="E18" t="str">
        <x:v>Premier Great Lakes</x:v>
      </x:c>
      <x:c r="F18" t="n">
        <x:v>1</x:v>
      </x:c>
      <x:c r="G18" t="n">
        <x:v>0.7875</x:v>
      </x:c>
      <x:c r="H18" t="n">
        <x:v>0.5299</x:v>
      </x:c>
      <x:c r="I18" t="n">
        <x:v>65.5631</x:v>
      </x:c>
      <x:c r="J18" t="n">
        <x:f>IF(ISNUMBER(I18),MAX(1,I18),1)</x:f>
        <x:v>65.5631</x:v>
      </x:c>
      <x:c r="K18"/>
      <x:c r="L18" t="str">
        <x:v>NOT VERIFIED</x:v>
      </x:c>
      <x:c r="M18" t="n">
        <x:f>IF(COUNTIFS('Conference pools'!$A$2:$A$25,D18,'Conference pools'!$D$2:$D$25,"&gt;=0")=0,"",SUMIF('Conference pools'!$A$2:$A$25,D18,'Conference pools'!$D$2:$D$25))</x:f>
        <x:v>0</x:v>
      </x:c>
      <x:c r="N18" t="n">
        <x:f>COUNTIF($D$2:$D$267,D18)</x:f>
        <x:v>18</x:v>
      </x:c>
      <x:c r="O18" t="n">
        <x:f>SUMIF($D$2:$D$267,D18,$J$2:$J$267)</x:f>
        <x:v>1068.7005</x:v>
      </x:c>
      <x:c r="P18" t="n">
        <x:f>IF(OR(NOT(ISNUMBER(M18)),O18=0),"",M18*('Conference pools'!$H$2/N18+'Conference pools'!$H$3*J18/O18))</x:f>
        <x:v>0</x:v>
      </x:c>
      <x:c r="Q18" t="n">
        <x:f>IF(COUNTIFS($E$2:$E$267,E18,$X$2:$X$267,"&lt;&gt;")&lt;&gt;COUNTIF($E$2:$E$267,E18),"",SUMIF($E$2:$E$267,E18,$X$2:$X$267))</x:f>
        <x:v>0</x:v>
      </x:c>
      <x:c r="R18" t="n">
        <x:f>COUNTIF($E$2:$E$267,E18)</x:f>
        <x:v>12</x:v>
      </x:c>
      <x:c r="S18" t="n">
        <x:f>SUMIF($E$2:$E$267,E18,$J$2:$J$267)</x:f>
        <x:v>753.5634</x:v>
      </x:c>
      <x:c r="T18" t="n">
        <x:f>IF(OR(NOT(ISNUMBER(Q18)),S18=0),"",Q18*('Conference pools'!$H$2/R18+'Conference pools'!$H$3*J18/S18))</x:f>
        <x:v>0</x:v>
      </x:c>
      <x:c r="U18" t="n">
        <x:f>IF(OR(NOT(ISNUMBER(P18)),NOT(ISNUMBER(T18))),"",T18-P18)</x:f>
        <x:v>0</x:v>
      </x:c>
      <x:c r="V18" s="8" t="str">
        <x:f>IF(OR(NOT(ISNUMBER(U18)),P18=0),"",U18/P18)</x:f>
      </x:c>
      <x:c r="W18" t="str">
        <x:f>IF(OR(NOT(ISNUMBER(T18)),NOT(ISNUMBER(K18))),"",T18-K18)</x:f>
      </x:c>
      <x:c r="X18" t="n">
        <x:f>IF(NOT(ISNUMBER(M18)),"",M18/N18)</x:f>
        <x:v>0</x:v>
      </x:c>
    </x:row>
    <x:row r="19">
      <x:c r="A19" t="str">
        <x:v>LOUISVILLE</x:v>
      </x:c>
      <x:c r="B19" t="str">
        <x:v>University of Louisville</x:v>
      </x:c>
      <x:c r="C19" t="str">
        <x:v>FBS</x:v>
      </x:c>
      <x:c r="D19" t="str">
        <x:v>Atlantic Coast Conference</x:v>
      </x:c>
      <x:c r="E19" t="str">
        <x:v>Premier Great Lakes</x:v>
      </x:c>
      <x:c r="F19" t="n">
        <x:v>2</x:v>
      </x:c>
      <x:c r="G19" t="n">
        <x:v>0.6982</x:v>
      </x:c>
      <x:c r="H19" t="n">
        <x:v>0.5392</x:v>
      </x:c>
      <x:c r="I19" t="n">
        <x:v>64.0086</x:v>
      </x:c>
      <x:c r="J19" t="n">
        <x:f>IF(ISNUMBER(I19),MAX(1,I19),1)</x:f>
        <x:v>64.0086</x:v>
      </x:c>
      <x:c r="K19"/>
      <x:c r="L19" t="str">
        <x:v>NOT VERIFIED</x:v>
      </x:c>
      <x:c r="M19" t="n">
        <x:f>IF(COUNTIFS('Conference pools'!$A$2:$A$25,D19,'Conference pools'!$D$2:$D$25,"&gt;=0")=0,"",SUMIF('Conference pools'!$A$2:$A$25,D19,'Conference pools'!$D$2:$D$25))</x:f>
        <x:v>0</x:v>
      </x:c>
      <x:c r="N19" t="n">
        <x:f>COUNTIF($D$2:$D$267,D19)</x:f>
        <x:v>17</x:v>
      </x:c>
      <x:c r="O19" t="n">
        <x:f>SUMIF($D$2:$D$267,D19,$J$2:$J$267)</x:f>
        <x:v>952.8619000000001</x:v>
      </x:c>
      <x:c r="P19" t="n">
        <x:f>IF(OR(NOT(ISNUMBER(M19)),O19=0),"",M19*('Conference pools'!$H$2/N19+'Conference pools'!$H$3*J19/O19))</x:f>
        <x:v>0</x:v>
      </x:c>
      <x:c r="Q19" t="n">
        <x:f>IF(COUNTIFS($E$2:$E$267,E19,$X$2:$X$267,"&lt;&gt;")&lt;&gt;COUNTIF($E$2:$E$267,E19),"",SUMIF($E$2:$E$267,E19,$X$2:$X$267))</x:f>
        <x:v>0</x:v>
      </x:c>
      <x:c r="R19" t="n">
        <x:f>COUNTIF($E$2:$E$267,E19)</x:f>
        <x:v>12</x:v>
      </x:c>
      <x:c r="S19" t="n">
        <x:f>SUMIF($E$2:$E$267,E19,$J$2:$J$267)</x:f>
        <x:v>753.5634</x:v>
      </x:c>
      <x:c r="T19" t="n">
        <x:f>IF(OR(NOT(ISNUMBER(Q19)),S19=0),"",Q19*('Conference pools'!$H$2/R19+'Conference pools'!$H$3*J19/S19))</x:f>
        <x:v>0</x:v>
      </x:c>
      <x:c r="U19" t="n">
        <x:f>IF(OR(NOT(ISNUMBER(P19)),NOT(ISNUMBER(T19))),"",T19-P19)</x:f>
        <x:v>0</x:v>
      </x:c>
      <x:c r="V19" s="8" t="str">
        <x:f>IF(OR(NOT(ISNUMBER(U19)),P19=0),"",U19/P19)</x:f>
      </x:c>
      <x:c r="W19" t="str">
        <x:f>IF(OR(NOT(ISNUMBER(T19)),NOT(ISNUMBER(K19))),"",T19-K19)</x:f>
      </x:c>
      <x:c r="X19" t="n">
        <x:f>IF(NOT(ISNUMBER(M19)),"",M19/N19)</x:f>
        <x:v>0</x:v>
      </x:c>
    </x:row>
    <x:row r="20">
      <x:c r="A20" t="str">
        <x:v>TOLEDO</x:v>
      </x:c>
      <x:c r="B20" t="str">
        <x:v>University of Toledo</x:v>
      </x:c>
      <x:c r="C20" t="str">
        <x:v>FBS</x:v>
      </x:c>
      <x:c r="D20" t="str">
        <x:v>Mid-American</x:v>
      </x:c>
      <x:c r="E20" t="str">
        <x:v>Premier Great Lakes</x:v>
      </x:c>
      <x:c r="F20" t="n">
        <x:v>2</x:v>
      </x:c>
      <x:c r="G20" t="n">
        <x:v>0.6609</x:v>
      </x:c>
      <x:c r="H20" t="n">
        <x:v>0.4835</x:v>
      </x:c>
      <x:c r="I20" t="n">
        <x:v>60.6042</x:v>
      </x:c>
      <x:c r="J20" t="n">
        <x:f>IF(ISNUMBER(I20),MAX(1,I20),1)</x:f>
        <x:v>60.6042</x:v>
      </x:c>
      <x:c r="K20"/>
      <x:c r="L20" t="str">
        <x:v>NOT VERIFIED</x:v>
      </x:c>
      <x:c r="M20" t="n">
        <x:f>IF(COUNTIFS('Conference pools'!$A$2:$A$25,D20,'Conference pools'!$D$2:$D$25,"&gt;=0")=0,"",SUMIF('Conference pools'!$A$2:$A$25,D20,'Conference pools'!$D$2:$D$25))</x:f>
        <x:v>0</x:v>
      </x:c>
      <x:c r="N20" t="n">
        <x:f>COUNTIF($D$2:$D$267,D20)</x:f>
        <x:v>13</x:v>
      </x:c>
      <x:c r="O20" t="n">
        <x:f>SUMIF($D$2:$D$267,D20,$J$2:$J$267)</x:f>
        <x:v>612.9399999999998</x:v>
      </x:c>
      <x:c r="P20" t="n">
        <x:f>IF(OR(NOT(ISNUMBER(M20)),O20=0),"",M20*('Conference pools'!$H$2/N20+'Conference pools'!$H$3*J20/O20))</x:f>
        <x:v>0</x:v>
      </x:c>
      <x:c r="Q20" t="n">
        <x:f>IF(COUNTIFS($E$2:$E$267,E20,$X$2:$X$267,"&lt;&gt;")&lt;&gt;COUNTIF($E$2:$E$267,E20),"",SUMIF($E$2:$E$267,E20,$X$2:$X$267))</x:f>
        <x:v>0</x:v>
      </x:c>
      <x:c r="R20" t="n">
        <x:f>COUNTIF($E$2:$E$267,E20)</x:f>
        <x:v>12</x:v>
      </x:c>
      <x:c r="S20" t="n">
        <x:f>SUMIF($E$2:$E$267,E20,$J$2:$J$267)</x:f>
        <x:v>753.5634</x:v>
      </x:c>
      <x:c r="T20" t="n">
        <x:f>IF(OR(NOT(ISNUMBER(Q20)),S20=0),"",Q20*('Conference pools'!$H$2/R20+'Conference pools'!$H$3*J20/S20))</x:f>
        <x:v>0</x:v>
      </x:c>
      <x:c r="U20" t="n">
        <x:f>IF(OR(NOT(ISNUMBER(P20)),NOT(ISNUMBER(T20))),"",T20-P20)</x:f>
        <x:v>0</x:v>
      </x:c>
      <x:c r="V20" s="8" t="str">
        <x:f>IF(OR(NOT(ISNUMBER(U20)),P20=0),"",U20/P20)</x:f>
      </x:c>
      <x:c r="W20" t="str">
        <x:f>IF(OR(NOT(ISNUMBER(T20)),NOT(ISNUMBER(K20))),"",T20-K20)</x:f>
      </x:c>
      <x:c r="X20" t="n">
        <x:f>IF(NOT(ISNUMBER(M20)),"",M20/N20)</x:f>
        <x:v>0</x:v>
      </x:c>
    </x:row>
    <x:row r="21">
      <x:c r="A21" t="str">
        <x:v>WESTERN_KENTUCKY</x:v>
      </x:c>
      <x:c r="B21" t="str">
        <x:v>Western Kentucky University</x:v>
      </x:c>
      <x:c r="C21" t="str">
        <x:v>FBS</x:v>
      </x:c>
      <x:c r="D21" t="str">
        <x:v>Conference USA</x:v>
      </x:c>
      <x:c r="E21" t="str">
        <x:v>Premier Great Lakes</x:v>
      </x:c>
      <x:c r="F21" t="n">
        <x:v>2</x:v>
      </x:c>
      <x:c r="G21" t="n">
        <x:v>0.6296</x:v>
      </x:c>
      <x:c r="H21" t="n">
        <x:v>0.4887</x:v>
      </x:c>
      <x:c r="I21" t="n">
        <x:v>57.9139</x:v>
      </x:c>
      <x:c r="J21" t="n">
        <x:f>IF(ISNUMBER(I21),MAX(1,I21),1)</x:f>
        <x:v>57.9139</x:v>
      </x:c>
      <x:c r="K21"/>
      <x:c r="L21" t="str">
        <x:v>NOT VERIFIED</x:v>
      </x:c>
      <x:c r="M21" t="n">
        <x:f>IF(COUNTIFS('Conference pools'!$A$2:$A$25,D21,'Conference pools'!$D$2:$D$25,"&gt;=0")=0,"",SUMIF('Conference pools'!$A$2:$A$25,D21,'Conference pools'!$D$2:$D$25))</x:f>
        <x:v>0</x:v>
      </x:c>
      <x:c r="N21" t="n">
        <x:f>COUNTIF($D$2:$D$267,D21)</x:f>
        <x:v>10</x:v>
      </x:c>
      <x:c r="O21" t="n">
        <x:f>SUMIF($D$2:$D$267,D21,$J$2:$J$267)</x:f>
        <x:v>487.94570000000004</x:v>
      </x:c>
      <x:c r="P21" t="n">
        <x:f>IF(OR(NOT(ISNUMBER(M21)),O21=0),"",M21*('Conference pools'!$H$2/N21+'Conference pools'!$H$3*J21/O21))</x:f>
        <x:v>0</x:v>
      </x:c>
      <x:c r="Q21" t="n">
        <x:f>IF(COUNTIFS($E$2:$E$267,E21,$X$2:$X$267,"&lt;&gt;")&lt;&gt;COUNTIF($E$2:$E$267,E21),"",SUMIF($E$2:$E$267,E21,$X$2:$X$267))</x:f>
        <x:v>0</x:v>
      </x:c>
      <x:c r="R21" t="n">
        <x:f>COUNTIF($E$2:$E$267,E21)</x:f>
        <x:v>12</x:v>
      </x:c>
      <x:c r="S21" t="n">
        <x:f>SUMIF($E$2:$E$267,E21,$J$2:$J$267)</x:f>
        <x:v>753.5634</x:v>
      </x:c>
      <x:c r="T21" t="n">
        <x:f>IF(OR(NOT(ISNUMBER(Q21)),S21=0),"",Q21*('Conference pools'!$H$2/R21+'Conference pools'!$H$3*J21/S21))</x:f>
        <x:v>0</x:v>
      </x:c>
      <x:c r="U21" t="n">
        <x:f>IF(OR(NOT(ISNUMBER(P21)),NOT(ISNUMBER(T21))),"",T21-P21)</x:f>
        <x:v>0</x:v>
      </x:c>
      <x:c r="V21" s="8" t="str">
        <x:f>IF(OR(NOT(ISNUMBER(U21)),P21=0),"",U21/P21)</x:f>
      </x:c>
      <x:c r="W21" t="str">
        <x:f>IF(OR(NOT(ISNUMBER(T21)),NOT(ISNUMBER(K21))),"",T21-K21)</x:f>
      </x:c>
      <x:c r="X21" t="n">
        <x:f>IF(NOT(ISNUMBER(M21)),"",M21/N21)</x:f>
        <x:v>0</x:v>
      </x:c>
    </x:row>
    <x:row r="22">
      <x:c r="A22" t="str">
        <x:v>MIAMI_OH</x:v>
      </x:c>
      <x:c r="B22" t="str">
        <x:v>Miami University</x:v>
      </x:c>
      <x:c r="C22" t="str">
        <x:v>FBS</x:v>
      </x:c>
      <x:c r="D22" t="str">
        <x:v>Mid-American</x:v>
      </x:c>
      <x:c r="E22" t="str">
        <x:v>Premier Great Lakes</x:v>
      </x:c>
      <x:c r="F22" t="n">
        <x:v>3</x:v>
      </x:c>
      <x:c r="G22" t="n">
        <x:v>0.6215</x:v>
      </x:c>
      <x:c r="H22" t="n">
        <x:v>0.4765</x:v>
      </x:c>
      <x:c r="I22" t="n">
        <x:v>56.6327</x:v>
      </x:c>
      <x:c r="J22" t="n">
        <x:f>IF(ISNUMBER(I22),MAX(1,I22),1)</x:f>
        <x:v>56.6327</x:v>
      </x:c>
      <x:c r="K22"/>
      <x:c r="L22" t="str">
        <x:v>NOT VERIFIED</x:v>
      </x:c>
      <x:c r="M22" t="n">
        <x:f>IF(COUNTIFS('Conference pools'!$A$2:$A$25,D22,'Conference pools'!$D$2:$D$25,"&gt;=0")=0,"",SUMIF('Conference pools'!$A$2:$A$25,D22,'Conference pools'!$D$2:$D$25))</x:f>
        <x:v>0</x:v>
      </x:c>
      <x:c r="N22" t="n">
        <x:f>COUNTIF($D$2:$D$267,D22)</x:f>
        <x:v>13</x:v>
      </x:c>
      <x:c r="O22" t="n">
        <x:f>SUMIF($D$2:$D$267,D22,$J$2:$J$267)</x:f>
        <x:v>612.9399999999998</x:v>
      </x:c>
      <x:c r="P22" t="n">
        <x:f>IF(OR(NOT(ISNUMBER(M22)),O22=0),"",M22*('Conference pools'!$H$2/N22+'Conference pools'!$H$3*J22/O22))</x:f>
        <x:v>0</x:v>
      </x:c>
      <x:c r="Q22" t="n">
        <x:f>IF(COUNTIFS($E$2:$E$267,E22,$X$2:$X$267,"&lt;&gt;")&lt;&gt;COUNTIF($E$2:$E$267,E22),"",SUMIF($E$2:$E$267,E22,$X$2:$X$267))</x:f>
        <x:v>0</x:v>
      </x:c>
      <x:c r="R22" t="n">
        <x:f>COUNTIF($E$2:$E$267,E22)</x:f>
        <x:v>12</x:v>
      </x:c>
      <x:c r="S22" t="n">
        <x:f>SUMIF($E$2:$E$267,E22,$J$2:$J$267)</x:f>
        <x:v>753.5634</x:v>
      </x:c>
      <x:c r="T22" t="n">
        <x:f>IF(OR(NOT(ISNUMBER(Q22)),S22=0),"",Q22*('Conference pools'!$H$2/R22+'Conference pools'!$H$3*J22/S22))</x:f>
        <x:v>0</x:v>
      </x:c>
      <x:c r="U22" t="n">
        <x:f>IF(OR(NOT(ISNUMBER(P22)),NOT(ISNUMBER(T22))),"",T22-P22)</x:f>
        <x:v>0</x:v>
      </x:c>
      <x:c r="V22" s="8" t="str">
        <x:f>IF(OR(NOT(ISNUMBER(U22)),P22=0),"",U22/P22)</x:f>
      </x:c>
      <x:c r="W22" t="str">
        <x:f>IF(OR(NOT(ISNUMBER(T22)),NOT(ISNUMBER(K22))),"",T22-K22)</x:f>
      </x:c>
      <x:c r="X22" t="n">
        <x:f>IF(NOT(ISNUMBER(M22)),"",M22/N22)</x:f>
        <x:v>0</x:v>
      </x:c>
    </x:row>
    <x:row r="23">
      <x:c r="A23" t="str">
        <x:v>MARSHALL</x:v>
      </x:c>
      <x:c r="B23" t="str">
        <x:v>Marshall University</x:v>
      </x:c>
      <x:c r="C23" t="str">
        <x:v>FBS</x:v>
      </x:c>
      <x:c r="D23" t="str">
        <x:v>Sun Belt</x:v>
      </x:c>
      <x:c r="E23" t="str">
        <x:v>Premier Great Lakes</x:v>
      </x:c>
      <x:c r="F23" t="n">
        <x:v>3</x:v>
      </x:c>
      <x:c r="G23" t="n">
        <x:v>0.5538</x:v>
      </x:c>
      <x:c r="H23" t="n">
        <x:v>0.5247</x:v>
      </x:c>
      <x:c r="I23" t="n">
        <x:v>55.8014</x:v>
      </x:c>
      <x:c r="J23" t="n">
        <x:f>IF(ISNUMBER(I23),MAX(1,I23),1)</x:f>
        <x:v>55.8014</x:v>
      </x:c>
      <x:c r="K23"/>
      <x:c r="L23" t="str">
        <x:v>NOT VERIFIED</x:v>
      </x:c>
      <x:c r="M23" t="n">
        <x:f>IF(COUNTIFS('Conference pools'!$A$2:$A$25,D23,'Conference pools'!$D$2:$D$25,"&gt;=0")=0,"",SUMIF('Conference pools'!$A$2:$A$25,D23,'Conference pools'!$D$2:$D$25))</x:f>
        <x:v>0</x:v>
      </x:c>
      <x:c r="N23" t="n">
        <x:f>COUNTIF($D$2:$D$267,D23)</x:f>
        <x:v>13</x:v>
      </x:c>
      <x:c r="O23" t="n">
        <x:f>SUMIF($D$2:$D$267,D23,$J$2:$J$267)</x:f>
        <x:v>670.3176</x:v>
      </x:c>
      <x:c r="P23" t="n">
        <x:f>IF(OR(NOT(ISNUMBER(M23)),O23=0),"",M23*('Conference pools'!$H$2/N23+'Conference pools'!$H$3*J23/O23))</x:f>
        <x:v>0</x:v>
      </x:c>
      <x:c r="Q23" t="n">
        <x:f>IF(COUNTIFS($E$2:$E$267,E23,$X$2:$X$267,"&lt;&gt;")&lt;&gt;COUNTIF($E$2:$E$267,E23),"",SUMIF($E$2:$E$267,E23,$X$2:$X$267))</x:f>
        <x:v>0</x:v>
      </x:c>
      <x:c r="R23" t="n">
        <x:f>COUNTIF($E$2:$E$267,E23)</x:f>
        <x:v>12</x:v>
      </x:c>
      <x:c r="S23" t="n">
        <x:f>SUMIF($E$2:$E$267,E23,$J$2:$J$267)</x:f>
        <x:v>753.5634</x:v>
      </x:c>
      <x:c r="T23" t="n">
        <x:f>IF(OR(NOT(ISNUMBER(Q23)),S23=0),"",Q23*('Conference pools'!$H$2/R23+'Conference pools'!$H$3*J23/S23))</x:f>
        <x:v>0</x:v>
      </x:c>
      <x:c r="U23" t="n">
        <x:f>IF(OR(NOT(ISNUMBER(P23)),NOT(ISNUMBER(T23))),"",T23-P23)</x:f>
        <x:v>0</x:v>
      </x:c>
      <x:c r="V23" s="8" t="str">
        <x:f>IF(OR(NOT(ISNUMBER(U23)),P23=0),"",U23/P23)</x:f>
      </x:c>
      <x:c r="W23" t="str">
        <x:f>IF(OR(NOT(ISNUMBER(T23)),NOT(ISNUMBER(K23))),"",T23-K23)</x:f>
      </x:c>
      <x:c r="X23" t="n">
        <x:f>IF(NOT(ISNUMBER(M23)),"",M23/N23)</x:f>
        <x:v>0</x:v>
      </x:c>
    </x:row>
    <x:row r="24">
      <x:c r="A24" t="str">
        <x:v>VANDERBILT</x:v>
      </x:c>
      <x:c r="B24" t="str">
        <x:v>Vanderbilt University</x:v>
      </x:c>
      <x:c r="C24" t="str">
        <x:v>FBS</x:v>
      </x:c>
      <x:c r="D24" t="str">
        <x:v>Southeastern Conference</x:v>
      </x:c>
      <x:c r="E24" t="str">
        <x:v>Premier Great Lakes</x:v>
      </x:c>
      <x:c r="F24" t="n">
        <x:v>4</x:v>
      </x:c>
      <x:c r="G24" t="n">
        <x:v>0.5446</x:v>
      </x:c>
      <x:c r="H24" t="n">
        <x:v>0.5324</x:v>
      </x:c>
      <x:c r="I24" t="n">
        <x:v>53.0875</x:v>
      </x:c>
      <x:c r="J24" t="n">
        <x:f>IF(ISNUMBER(I24),MAX(1,I24),1)</x:f>
        <x:v>53.0875</x:v>
      </x:c>
      <x:c r="K24"/>
      <x:c r="L24" t="str">
        <x:v>NOT VERIFIED</x:v>
      </x:c>
      <x:c r="M24" t="n">
        <x:f>IF(COUNTIFS('Conference pools'!$A$2:$A$25,D24,'Conference pools'!$D$2:$D$25,"&gt;=0")=0,"",SUMIF('Conference pools'!$A$2:$A$25,D24,'Conference pools'!$D$2:$D$25))</x:f>
        <x:v>0</x:v>
      </x:c>
      <x:c r="N24" t="n">
        <x:f>COUNTIF($D$2:$D$267,D24)</x:f>
        <x:v>16</x:v>
      </x:c>
      <x:c r="O24" t="n">
        <x:f>SUMIF($D$2:$D$267,D24,$J$2:$J$267)</x:f>
        <x:v>979.9415</x:v>
      </x:c>
      <x:c r="P24" t="n">
        <x:f>IF(OR(NOT(ISNUMBER(M24)),O24=0),"",M24*('Conference pools'!$H$2/N24+'Conference pools'!$H$3*J24/O24))</x:f>
        <x:v>0</x:v>
      </x:c>
      <x:c r="Q24" t="n">
        <x:f>IF(COUNTIFS($E$2:$E$267,E24,$X$2:$X$267,"&lt;&gt;")&lt;&gt;COUNTIF($E$2:$E$267,E24),"",SUMIF($E$2:$E$267,E24,$X$2:$X$267))</x:f>
        <x:v>0</x:v>
      </x:c>
      <x:c r="R24" t="n">
        <x:f>COUNTIF($E$2:$E$267,E24)</x:f>
        <x:v>12</x:v>
      </x:c>
      <x:c r="S24" t="n">
        <x:f>SUMIF($E$2:$E$267,E24,$J$2:$J$267)</x:f>
        <x:v>753.5634</x:v>
      </x:c>
      <x:c r="T24" t="n">
        <x:f>IF(OR(NOT(ISNUMBER(Q24)),S24=0),"",Q24*('Conference pools'!$H$2/R24+'Conference pools'!$H$3*J24/S24))</x:f>
        <x:v>0</x:v>
      </x:c>
      <x:c r="U24" t="n">
        <x:f>IF(OR(NOT(ISNUMBER(P24)),NOT(ISNUMBER(T24))),"",T24-P24)</x:f>
        <x:v>0</x:v>
      </x:c>
      <x:c r="V24" s="8" t="str">
        <x:f>IF(OR(NOT(ISNUMBER(U24)),P24=0),"",U24/P24)</x:f>
      </x:c>
      <x:c r="W24" t="str">
        <x:f>IF(OR(NOT(ISNUMBER(T24)),NOT(ISNUMBER(K24))),"",T24-K24)</x:f>
      </x:c>
      <x:c r="X24" t="n">
        <x:f>IF(NOT(ISNUMBER(M24)),"",M24/N24)</x:f>
        <x:v>0</x:v>
      </x:c>
    </x:row>
    <x:row r="25">
      <x:c r="A25" t="str">
        <x:v>WESTERN_MICHIGAN</x:v>
      </x:c>
      <x:c r="B25" t="str">
        <x:v>Western Michigan University</x:v>
      </x:c>
      <x:c r="C25" t="str">
        <x:v>FBS</x:v>
      </x:c>
      <x:c r="D25" t="str">
        <x:v>Mid-American</x:v>
      </x:c>
      <x:c r="E25" t="str">
        <x:v>Premier Great Lakes</x:v>
      </x:c>
      <x:c r="F25" t="n">
        <x:v>4</x:v>
      </x:c>
      <x:c r="G25" t="n">
        <x:v>0.5402</x:v>
      </x:c>
      <x:c r="H25" t="n">
        <x:v>0.5019</x:v>
      </x:c>
      <x:c r="I25" t="n">
        <x:v>52.8737</x:v>
      </x:c>
      <x:c r="J25" t="n">
        <x:f>IF(ISNUMBER(I25),MAX(1,I25),1)</x:f>
        <x:v>52.8737</x:v>
      </x:c>
      <x:c r="K25"/>
      <x:c r="L25" t="str">
        <x:v>NOT VERIFIED</x:v>
      </x:c>
      <x:c r="M25" t="n">
        <x:f>IF(COUNTIFS('Conference pools'!$A$2:$A$25,D25,'Conference pools'!$D$2:$D$25,"&gt;=0")=0,"",SUMIF('Conference pools'!$A$2:$A$25,D25,'Conference pools'!$D$2:$D$25))</x:f>
        <x:v>0</x:v>
      </x:c>
      <x:c r="N25" t="n">
        <x:f>COUNTIF($D$2:$D$267,D25)</x:f>
        <x:v>13</x:v>
      </x:c>
      <x:c r="O25" t="n">
        <x:f>SUMIF($D$2:$D$267,D25,$J$2:$J$267)</x:f>
        <x:v>612.9399999999998</x:v>
      </x:c>
      <x:c r="P25" t="n">
        <x:f>IF(OR(NOT(ISNUMBER(M25)),O25=0),"",M25*('Conference pools'!$H$2/N25+'Conference pools'!$H$3*J25/O25))</x:f>
        <x:v>0</x:v>
      </x:c>
      <x:c r="Q25" t="n">
        <x:f>IF(COUNTIFS($E$2:$E$267,E25,$X$2:$X$267,"&lt;&gt;")&lt;&gt;COUNTIF($E$2:$E$267,E25),"",SUMIF($E$2:$E$267,E25,$X$2:$X$267))</x:f>
        <x:v>0</x:v>
      </x:c>
      <x:c r="R25" t="n">
        <x:f>COUNTIF($E$2:$E$267,E25)</x:f>
        <x:v>12</x:v>
      </x:c>
      <x:c r="S25" t="n">
        <x:f>SUMIF($E$2:$E$267,E25,$J$2:$J$267)</x:f>
        <x:v>753.5634</x:v>
      </x:c>
      <x:c r="T25" t="n">
        <x:f>IF(OR(NOT(ISNUMBER(Q25)),S25=0),"",Q25*('Conference pools'!$H$2/R25+'Conference pools'!$H$3*J25/S25))</x:f>
        <x:v>0</x:v>
      </x:c>
      <x:c r="U25" t="n">
        <x:f>IF(OR(NOT(ISNUMBER(P25)),NOT(ISNUMBER(T25))),"",T25-P25)</x:f>
        <x:v>0</x:v>
      </x:c>
      <x:c r="V25" s="8" t="str">
        <x:f>IF(OR(NOT(ISNUMBER(U25)),P25=0),"",U25/P25)</x:f>
      </x:c>
      <x:c r="W25" t="str">
        <x:f>IF(OR(NOT(ISNUMBER(T25)),NOT(ISNUMBER(K25))),"",T25-K25)</x:f>
      </x:c>
      <x:c r="X25" t="n">
        <x:f>IF(NOT(ISNUMBER(M25)),"",M25/N25)</x:f>
        <x:v>0</x:v>
      </x:c>
    </x:row>
    <x:row r="26">
      <x:c r="A26" t="str">
        <x:v>NORTH_DAKOTA_STATE</x:v>
      </x:c>
      <x:c r="B26" t="str">
        <x:v>North Dakota State University</x:v>
      </x:c>
      <x:c r="C26" t="str">
        <x:v>FBS</x:v>
      </x:c>
      <x:c r="D26" t="str">
        <x:v>Mountain West</x:v>
      </x:c>
      <x:c r="E26" t="str">
        <x:v>Premier Heartland</x:v>
      </x:c>
      <x:c r="F26" t="n">
        <x:v>1</x:v>
      </x:c>
      <x:c r="G26" t="n">
        <x:v>0.8553</x:v>
      </x:c>
      <x:c r="H26" t="n">
        <x:v>0.5517</x:v>
      </x:c>
      <x:c r="I26" t="n">
        <x:v>64.5942</x:v>
      </x:c>
      <x:c r="J26" t="n">
        <x:f>IF(ISNUMBER(I26),MAX(1,I26),1)</x:f>
        <x:v>64.5942</x:v>
      </x:c>
      <x:c r="K26"/>
      <x:c r="L26" t="str">
        <x:v>NOT VERIFIED</x:v>
      </x:c>
      <x:c r="M26" t="n">
        <x:f>IF(COUNTIFS('Conference pools'!$A$2:$A$25,D26,'Conference pools'!$D$2:$D$25,"&gt;=0")=0,"",SUMIF('Conference pools'!$A$2:$A$25,D26,'Conference pools'!$D$2:$D$25))</x:f>
        <x:v>0</x:v>
      </x:c>
      <x:c r="N26" t="n">
        <x:f>COUNTIF($D$2:$D$267,D26)</x:f>
        <x:v>10</x:v>
      </x:c>
      <x:c r="O26" t="n">
        <x:f>SUMIF($D$2:$D$267,D26,$J$2:$J$267)</x:f>
        <x:v>494.2351</x:v>
      </x:c>
      <x:c r="P26" t="n">
        <x:f>IF(OR(NOT(ISNUMBER(M26)),O26=0),"",M26*('Conference pools'!$H$2/N26+'Conference pools'!$H$3*J26/O26))</x:f>
        <x:v>0</x:v>
      </x:c>
      <x:c r="Q26" t="n">
        <x:f>IF(COUNTIFS($E$2:$E$267,E26,$X$2:$X$267,"&lt;&gt;")&lt;&gt;COUNTIF($E$2:$E$267,E26),"",SUMIF($E$2:$E$267,E26,$X$2:$X$267))</x:f>
        <x:v>0</x:v>
      </x:c>
      <x:c r="R26" t="n">
        <x:f>COUNTIF($E$2:$E$267,E26)</x:f>
        <x:v>12</x:v>
      </x:c>
      <x:c r="S26" t="n">
        <x:f>SUMIF($E$2:$E$267,E26,$J$2:$J$267)</x:f>
        <x:v>732.5423000000001</x:v>
      </x:c>
      <x:c r="T26" t="n">
        <x:f>IF(OR(NOT(ISNUMBER(Q26)),S26=0),"",Q26*('Conference pools'!$H$2/R26+'Conference pools'!$H$3*J26/S26))</x:f>
        <x:v>0</x:v>
      </x:c>
      <x:c r="U26" t="n">
        <x:f>IF(OR(NOT(ISNUMBER(P26)),NOT(ISNUMBER(T26))),"",T26-P26)</x:f>
        <x:v>0</x:v>
      </x:c>
      <x:c r="V26" s="8" t="str">
        <x:f>IF(OR(NOT(ISNUMBER(U26)),P26=0),"",U26/P26)</x:f>
      </x:c>
      <x:c r="W26" t="str">
        <x:f>IF(OR(NOT(ISNUMBER(T26)),NOT(ISNUMBER(K26))),"",T26-K26)</x:f>
      </x:c>
      <x:c r="X26" t="n">
        <x:f>IF(NOT(ISNUMBER(M26)),"",M26/N26)</x:f>
        <x:v>0</x:v>
      </x:c>
    </x:row>
    <x:row r="27">
      <x:c r="A27" t="str">
        <x:v>OLE_MISS</x:v>
      </x:c>
      <x:c r="B27" t="str">
        <x:v>University of Mississippi</x:v>
      </x:c>
      <x:c r="C27" t="str">
        <x:v>FBS</x:v>
      </x:c>
      <x:c r="D27" t="str">
        <x:v>Southeastern Conference</x:v>
      </x:c>
      <x:c r="E27" t="str">
        <x:v>Premier Heartland</x:v>
      </x:c>
      <x:c r="F27" t="n">
        <x:v>1</x:v>
      </x:c>
      <x:c r="G27" t="n">
        <x:v>0.8301</x:v>
      </x:c>
      <x:c r="H27" t="n">
        <x:v>0.5301</x:v>
      </x:c>
      <x:c r="I27" t="n">
        <x:v>70.2235</x:v>
      </x:c>
      <x:c r="J27" t="n">
        <x:f>IF(ISNUMBER(I27),MAX(1,I27),1)</x:f>
        <x:v>70.2235</x:v>
      </x:c>
      <x:c r="K27"/>
      <x:c r="L27" t="str">
        <x:v>NOT VERIFIED</x:v>
      </x:c>
      <x:c r="M27" t="n">
        <x:f>IF(COUNTIFS('Conference pools'!$A$2:$A$25,D27,'Conference pools'!$D$2:$D$25,"&gt;=0")=0,"",SUMIF('Conference pools'!$A$2:$A$25,D27,'Conference pools'!$D$2:$D$25))</x:f>
        <x:v>0</x:v>
      </x:c>
      <x:c r="N27" t="n">
        <x:f>COUNTIF($D$2:$D$267,D27)</x:f>
        <x:v>16</x:v>
      </x:c>
      <x:c r="O27" t="n">
        <x:f>SUMIF($D$2:$D$267,D27,$J$2:$J$267)</x:f>
        <x:v>979.9415</x:v>
      </x:c>
      <x:c r="P27" t="n">
        <x:f>IF(OR(NOT(ISNUMBER(M27)),O27=0),"",M27*('Conference pools'!$H$2/N27+'Conference pools'!$H$3*J27/O27))</x:f>
        <x:v>0</x:v>
      </x:c>
      <x:c r="Q27" t="n">
        <x:f>IF(COUNTIFS($E$2:$E$267,E27,$X$2:$X$267,"&lt;&gt;")&lt;&gt;COUNTIF($E$2:$E$267,E27),"",SUMIF($E$2:$E$267,E27,$X$2:$X$267))</x:f>
        <x:v>0</x:v>
      </x:c>
      <x:c r="R27" t="n">
        <x:f>COUNTIF($E$2:$E$267,E27)</x:f>
        <x:v>12</x:v>
      </x:c>
      <x:c r="S27" t="n">
        <x:f>SUMIF($E$2:$E$267,E27,$J$2:$J$267)</x:f>
        <x:v>732.5423000000001</x:v>
      </x:c>
      <x:c r="T27" t="n">
        <x:f>IF(OR(NOT(ISNUMBER(Q27)),S27=0),"",Q27*('Conference pools'!$H$2/R27+'Conference pools'!$H$3*J27/S27))</x:f>
        <x:v>0</x:v>
      </x:c>
      <x:c r="U27" t="n">
        <x:f>IF(OR(NOT(ISNUMBER(P27)),NOT(ISNUMBER(T27))),"",T27-P27)</x:f>
        <x:v>0</x:v>
      </x:c>
      <x:c r="V27" s="8" t="str">
        <x:f>IF(OR(NOT(ISNUMBER(U27)),P27=0),"",U27/P27)</x:f>
      </x:c>
      <x:c r="W27" t="str">
        <x:f>IF(OR(NOT(ISNUMBER(T27)),NOT(ISNUMBER(K27))),"",T27-K27)</x:f>
      </x:c>
      <x:c r="X27" t="n">
        <x:f>IF(NOT(ISNUMBER(M27)),"",M27/N27)</x:f>
        <x:v>0</x:v>
      </x:c>
    </x:row>
    <x:row r="28">
      <x:c r="A28" t="str">
        <x:v>MEMPHIS</x:v>
      </x:c>
      <x:c r="B28" t="str">
        <x:v>University of Memphis</x:v>
      </x:c>
      <x:c r="C28" t="str">
        <x:v>FBS</x:v>
      </x:c>
      <x:c r="D28" t="str">
        <x:v>American Athletic</x:v>
      </x:c>
      <x:c r="E28" t="str">
        <x:v>Premier Heartland</x:v>
      </x:c>
      <x:c r="F28" t="n">
        <x:v>2</x:v>
      </x:c>
      <x:c r="G28" t="n">
        <x:v>0.7339</x:v>
      </x:c>
      <x:c r="H28" t="n">
        <x:v>0.4629</x:v>
      </x:c>
      <x:c r="I28" t="n">
        <x:v>63.7647</x:v>
      </x:c>
      <x:c r="J28" t="n">
        <x:f>IF(ISNUMBER(I28),MAX(1,I28),1)</x:f>
        <x:v>63.7647</x:v>
      </x:c>
      <x:c r="K28"/>
      <x:c r="L28" t="str">
        <x:v>NOT VERIFIED</x:v>
      </x:c>
      <x:c r="M28" t="n">
        <x:f>IF(COUNTIFS('Conference pools'!$A$2:$A$25,D28,'Conference pools'!$D$2:$D$25,"&gt;=0")=0,"",SUMIF('Conference pools'!$A$2:$A$25,D28,'Conference pools'!$D$2:$D$25))</x:f>
        <x:v>0</x:v>
      </x:c>
      <x:c r="N28" t="n">
        <x:f>COUNTIF($D$2:$D$267,D28)</x:f>
        <x:v>14</x:v>
      </x:c>
      <x:c r="O28" t="n">
        <x:f>SUMIF($D$2:$D$267,D28,$J$2:$J$267)</x:f>
        <x:v>720.9868000000001</x:v>
      </x:c>
      <x:c r="P28" t="n">
        <x:f>IF(OR(NOT(ISNUMBER(M28)),O28=0),"",M28*('Conference pools'!$H$2/N28+'Conference pools'!$H$3*J28/O28))</x:f>
        <x:v>0</x:v>
      </x:c>
      <x:c r="Q28" t="n">
        <x:f>IF(COUNTIFS($E$2:$E$267,E28,$X$2:$X$267,"&lt;&gt;")&lt;&gt;COUNTIF($E$2:$E$267,E28),"",SUMIF($E$2:$E$267,E28,$X$2:$X$267))</x:f>
        <x:v>0</x:v>
      </x:c>
      <x:c r="R28" t="n">
        <x:f>COUNTIF($E$2:$E$267,E28)</x:f>
        <x:v>12</x:v>
      </x:c>
      <x:c r="S28" t="n">
        <x:f>SUMIF($E$2:$E$267,E28,$J$2:$J$267)</x:f>
        <x:v>732.5423000000001</x:v>
      </x:c>
      <x:c r="T28" t="n">
        <x:f>IF(OR(NOT(ISNUMBER(Q28)),S28=0),"",Q28*('Conference pools'!$H$2/R28+'Conference pools'!$H$3*J28/S28))</x:f>
        <x:v>0</x:v>
      </x:c>
      <x:c r="U28" t="n">
        <x:f>IF(OR(NOT(ISNUMBER(P28)),NOT(ISNUMBER(T28))),"",T28-P28)</x:f>
        <x:v>0</x:v>
      </x:c>
      <x:c r="V28" s="8" t="str">
        <x:f>IF(OR(NOT(ISNUMBER(U28)),P28=0),"",U28/P28)</x:f>
      </x:c>
      <x:c r="W28" t="str">
        <x:f>IF(OR(NOT(ISNUMBER(T28)),NOT(ISNUMBER(K28))),"",T28-K28)</x:f>
      </x:c>
      <x:c r="X28" t="n">
        <x:f>IF(NOT(ISNUMBER(M28)),"",M28/N28)</x:f>
        <x:v>0</x:v>
      </x:c>
    </x:row>
    <x:row r="29">
      <x:c r="A29" t="str">
        <x:v>MISSOURI</x:v>
      </x:c>
      <x:c r="B29" t="str">
        <x:v>University of Missouri</x:v>
      </x:c>
      <x:c r="C29" t="str">
        <x:v>FBS</x:v>
      </x:c>
      <x:c r="D29" t="str">
        <x:v>Southeastern Conference</x:v>
      </x:c>
      <x:c r="E29" t="str">
        <x:v>Premier Heartland</x:v>
      </x:c>
      <x:c r="F29" t="n">
        <x:v>2</x:v>
      </x:c>
      <x:c r="G29" t="n">
        <x:v>0.7268</x:v>
      </x:c>
      <x:c r="H29" t="n">
        <x:v>0.5102</x:v>
      </x:c>
      <x:c r="I29" t="n">
        <x:v>64.0294</x:v>
      </x:c>
      <x:c r="J29" t="n">
        <x:f>IF(ISNUMBER(I29),MAX(1,I29),1)</x:f>
        <x:v>64.0294</x:v>
      </x:c>
      <x:c r="K29"/>
      <x:c r="L29" t="str">
        <x:v>NOT VERIFIED</x:v>
      </x:c>
      <x:c r="M29" t="n">
        <x:f>IF(COUNTIFS('Conference pools'!$A$2:$A$25,D29,'Conference pools'!$D$2:$D$25,"&gt;=0")=0,"",SUMIF('Conference pools'!$A$2:$A$25,D29,'Conference pools'!$D$2:$D$25))</x:f>
        <x:v>0</x:v>
      </x:c>
      <x:c r="N29" t="n">
        <x:f>COUNTIF($D$2:$D$267,D29)</x:f>
        <x:v>16</x:v>
      </x:c>
      <x:c r="O29" t="n">
        <x:f>SUMIF($D$2:$D$267,D29,$J$2:$J$267)</x:f>
        <x:v>979.9415</x:v>
      </x:c>
      <x:c r="P29" t="n">
        <x:f>IF(OR(NOT(ISNUMBER(M29)),O29=0),"",M29*('Conference pools'!$H$2/N29+'Conference pools'!$H$3*J29/O29))</x:f>
        <x:v>0</x:v>
      </x:c>
      <x:c r="Q29" t="n">
        <x:f>IF(COUNTIFS($E$2:$E$267,E29,$X$2:$X$267,"&lt;&gt;")&lt;&gt;COUNTIF($E$2:$E$267,E29),"",SUMIF($E$2:$E$267,E29,$X$2:$X$267))</x:f>
        <x:v>0</x:v>
      </x:c>
      <x:c r="R29" t="n">
        <x:f>COUNTIF($E$2:$E$267,E29)</x:f>
        <x:v>12</x:v>
      </x:c>
      <x:c r="S29" t="n">
        <x:f>SUMIF($E$2:$E$267,E29,$J$2:$J$267)</x:f>
        <x:v>732.5423000000001</x:v>
      </x:c>
      <x:c r="T29" t="n">
        <x:f>IF(OR(NOT(ISNUMBER(Q29)),S29=0),"",Q29*('Conference pools'!$H$2/R29+'Conference pools'!$H$3*J29/S29))</x:f>
        <x:v>0</x:v>
      </x:c>
      <x:c r="U29" t="n">
        <x:f>IF(OR(NOT(ISNUMBER(P29)),NOT(ISNUMBER(T29))),"",T29-P29)</x:f>
        <x:v>0</x:v>
      </x:c>
      <x:c r="V29" s="8" t="str">
        <x:f>IF(OR(NOT(ISNUMBER(U29)),P29=0),"",U29/P29)</x:f>
      </x:c>
      <x:c r="W29" t="str">
        <x:f>IF(OR(NOT(ISNUMBER(T29)),NOT(ISNUMBER(K29))),"",T29-K29)</x:f>
      </x:c>
      <x:c r="X29" t="n">
        <x:f>IF(NOT(ISNUMBER(M29)),"",M29/N29)</x:f>
        <x:v>0</x:v>
      </x:c>
    </x:row>
    <x:row r="30">
      <x:c r="A30" t="str">
        <x:v>IOWA</x:v>
      </x:c>
      <x:c r="B30" t="str">
        <x:v>University of Iowa</x:v>
      </x:c>
      <x:c r="C30" t="str">
        <x:v>FBS</x:v>
      </x:c>
      <x:c r="D30" t="str">
        <x:v>Big Ten</x:v>
      </x:c>
      <x:c r="E30" t="str">
        <x:v>Premier Heartland</x:v>
      </x:c>
      <x:c r="F30" t="n">
        <x:v>2</x:v>
      </x:c>
      <x:c r="G30" t="n">
        <x:v>0.6722</x:v>
      </x:c>
      <x:c r="H30" t="n">
        <x:v>0.5351</x:v>
      </x:c>
      <x:c r="I30" t="n">
        <x:v>64.0158</x:v>
      </x:c>
      <x:c r="J30" t="n">
        <x:f>IF(ISNUMBER(I30),MAX(1,I30),1)</x:f>
        <x:v>64.0158</x:v>
      </x:c>
      <x:c r="K30"/>
      <x:c r="L30" t="str">
        <x:v>NOT VERIFIED</x:v>
      </x:c>
      <x:c r="M30" t="n">
        <x:f>IF(COUNTIFS('Conference pools'!$A$2:$A$25,D30,'Conference pools'!$D$2:$D$25,"&gt;=0")=0,"",SUMIF('Conference pools'!$A$2:$A$25,D30,'Conference pools'!$D$2:$D$25))</x:f>
        <x:v>0</x:v>
      </x:c>
      <x:c r="N30" t="n">
        <x:f>COUNTIF($D$2:$D$267,D30)</x:f>
        <x:v>18</x:v>
      </x:c>
      <x:c r="O30" t="n">
        <x:f>SUMIF($D$2:$D$267,D30,$J$2:$J$267)</x:f>
        <x:v>1068.7005</x:v>
      </x:c>
      <x:c r="P30" t="n">
        <x:f>IF(OR(NOT(ISNUMBER(M30)),O30=0),"",M30*('Conference pools'!$H$2/N30+'Conference pools'!$H$3*J30/O30))</x:f>
        <x:v>0</x:v>
      </x:c>
      <x:c r="Q30" t="n">
        <x:f>IF(COUNTIFS($E$2:$E$267,E30,$X$2:$X$267,"&lt;&gt;")&lt;&gt;COUNTIF($E$2:$E$267,E30),"",SUMIF($E$2:$E$267,E30,$X$2:$X$267))</x:f>
        <x:v>0</x:v>
      </x:c>
      <x:c r="R30" t="n">
        <x:f>COUNTIF($E$2:$E$267,E30)</x:f>
        <x:v>12</x:v>
      </x:c>
      <x:c r="S30" t="n">
        <x:f>SUMIF($E$2:$E$267,E30,$J$2:$J$267)</x:f>
        <x:v>732.5423000000001</x:v>
      </x:c>
      <x:c r="T30" t="n">
        <x:f>IF(OR(NOT(ISNUMBER(Q30)),S30=0),"",Q30*('Conference pools'!$H$2/R30+'Conference pools'!$H$3*J30/S30))</x:f>
        <x:v>0</x:v>
      </x:c>
      <x:c r="U30" t="n">
        <x:f>IF(OR(NOT(ISNUMBER(P30)),NOT(ISNUMBER(T30))),"",T30-P30)</x:f>
        <x:v>0</x:v>
      </x:c>
      <x:c r="V30" s="8" t="str">
        <x:f>IF(OR(NOT(ISNUMBER(U30)),P30=0),"",U30/P30)</x:f>
      </x:c>
      <x:c r="W30" t="str">
        <x:f>IF(OR(NOT(ISNUMBER(T30)),NOT(ISNUMBER(K30))),"",T30-K30)</x:f>
      </x:c>
      <x:c r="X30" t="n">
        <x:f>IF(NOT(ISNUMBER(M30)),"",M30/N30)</x:f>
        <x:v>0</x:v>
      </x:c>
    </x:row>
    <x:row r="31">
      <x:c r="A31" t="str">
        <x:v>ILLINOIS</x:v>
      </x:c>
      <x:c r="B31" t="str">
        <x:v>University of Illinois Urbana-Champaign</x:v>
      </x:c>
      <x:c r="C31" t="str">
        <x:v>FBS</x:v>
      </x:c>
      <x:c r="D31" t="str">
        <x:v>Big Ten</x:v>
      </x:c>
      <x:c r="E31" t="str">
        <x:v>Premier Heartland</x:v>
      </x:c>
      <x:c r="F31" t="n">
        <x:v>2</x:v>
      </x:c>
      <x:c r="G31" t="n">
        <x:v>0.6537</x:v>
      </x:c>
      <x:c r="H31" t="n">
        <x:v>0.5388</x:v>
      </x:c>
      <x:c r="I31" t="n">
        <x:v>58.6741</x:v>
      </x:c>
      <x:c r="J31" t="n">
        <x:f>IF(ISNUMBER(I31),MAX(1,I31),1)</x:f>
        <x:v>58.6741</x:v>
      </x:c>
      <x:c r="K31"/>
      <x:c r="L31" t="str">
        <x:v>NOT VERIFIED</x:v>
      </x:c>
      <x:c r="M31" t="n">
        <x:f>IF(COUNTIFS('Conference pools'!$A$2:$A$25,D31,'Conference pools'!$D$2:$D$25,"&gt;=0")=0,"",SUMIF('Conference pools'!$A$2:$A$25,D31,'Conference pools'!$D$2:$D$25))</x:f>
        <x:v>0</x:v>
      </x:c>
      <x:c r="N31" t="n">
        <x:f>COUNTIF($D$2:$D$267,D31)</x:f>
        <x:v>18</x:v>
      </x:c>
      <x:c r="O31" t="n">
        <x:f>SUMIF($D$2:$D$267,D31,$J$2:$J$267)</x:f>
        <x:v>1068.7005</x:v>
      </x:c>
      <x:c r="P31" t="n">
        <x:f>IF(OR(NOT(ISNUMBER(M31)),O31=0),"",M31*('Conference pools'!$H$2/N31+'Conference pools'!$H$3*J31/O31))</x:f>
        <x:v>0</x:v>
      </x:c>
      <x:c r="Q31" t="n">
        <x:f>IF(COUNTIFS($E$2:$E$267,E31,$X$2:$X$267,"&lt;&gt;")&lt;&gt;COUNTIF($E$2:$E$267,E31),"",SUMIF($E$2:$E$267,E31,$X$2:$X$267))</x:f>
        <x:v>0</x:v>
      </x:c>
      <x:c r="R31" t="n">
        <x:f>COUNTIF($E$2:$E$267,E31)</x:f>
        <x:v>12</x:v>
      </x:c>
      <x:c r="S31" t="n">
        <x:f>SUMIF($E$2:$E$267,E31,$J$2:$J$267)</x:f>
        <x:v>732.5423000000001</x:v>
      </x:c>
      <x:c r="T31" t="n">
        <x:f>IF(OR(NOT(ISNUMBER(Q31)),S31=0),"",Q31*('Conference pools'!$H$2/R31+'Conference pools'!$H$3*J31/S31))</x:f>
        <x:v>0</x:v>
      </x:c>
      <x:c r="U31" t="n">
        <x:f>IF(OR(NOT(ISNUMBER(P31)),NOT(ISNUMBER(T31))),"",T31-P31)</x:f>
        <x:v>0</x:v>
      </x:c>
      <x:c r="V31" s="8" t="str">
        <x:f>IF(OR(NOT(ISNUMBER(U31)),P31=0),"",U31/P31)</x:f>
      </x:c>
      <x:c r="W31" t="str">
        <x:f>IF(OR(NOT(ISNUMBER(T31)),NOT(ISNUMBER(K31))),"",T31-K31)</x:f>
      </x:c>
      <x:c r="X31" t="n">
        <x:f>IF(NOT(ISNUMBER(M31)),"",M31/N31)</x:f>
        <x:v>0</x:v>
      </x:c>
    </x:row>
    <x:row r="32">
      <x:c r="A32" t="str">
        <x:v>OKLAHOMA</x:v>
      </x:c>
      <x:c r="B32" t="str">
        <x:v>University of Oklahoma</x:v>
      </x:c>
      <x:c r="C32" t="str">
        <x:v>FBS</x:v>
      </x:c>
      <x:c r="D32" t="str">
        <x:v>Southeastern Conference</x:v>
      </x:c>
      <x:c r="E32" t="str">
        <x:v>Premier Heartland</x:v>
      </x:c>
      <x:c r="F32" t="n">
        <x:v>1</x:v>
      </x:c>
      <x:c r="G32" t="n">
        <x:v>0.6631</x:v>
      </x:c>
      <x:c r="H32" t="n">
        <x:v>0.5997</x:v>
      </x:c>
      <x:c r="I32" t="n">
        <x:v>65.7668</x:v>
      </x:c>
      <x:c r="J32" t="n">
        <x:f>IF(ISNUMBER(I32),MAX(1,I32),1)</x:f>
        <x:v>65.7668</x:v>
      </x:c>
      <x:c r="K32"/>
      <x:c r="L32" t="str">
        <x:v>NOT VERIFIED</x:v>
      </x:c>
      <x:c r="M32" t="n">
        <x:f>IF(COUNTIFS('Conference pools'!$A$2:$A$25,D32,'Conference pools'!$D$2:$D$25,"&gt;=0")=0,"",SUMIF('Conference pools'!$A$2:$A$25,D32,'Conference pools'!$D$2:$D$25))</x:f>
        <x:v>0</x:v>
      </x:c>
      <x:c r="N32" t="n">
        <x:f>COUNTIF($D$2:$D$267,D32)</x:f>
        <x:v>16</x:v>
      </x:c>
      <x:c r="O32" t="n">
        <x:f>SUMIF($D$2:$D$267,D32,$J$2:$J$267)</x:f>
        <x:v>979.9415</x:v>
      </x:c>
      <x:c r="P32" t="n">
        <x:f>IF(OR(NOT(ISNUMBER(M32)),O32=0),"",M32*('Conference pools'!$H$2/N32+'Conference pools'!$H$3*J32/O32))</x:f>
        <x:v>0</x:v>
      </x:c>
      <x:c r="Q32" t="n">
        <x:f>IF(COUNTIFS($E$2:$E$267,E32,$X$2:$X$267,"&lt;&gt;")&lt;&gt;COUNTIF($E$2:$E$267,E32),"",SUMIF($E$2:$E$267,E32,$X$2:$X$267))</x:f>
        <x:v>0</x:v>
      </x:c>
      <x:c r="R32" t="n">
        <x:f>COUNTIF($E$2:$E$267,E32)</x:f>
        <x:v>12</x:v>
      </x:c>
      <x:c r="S32" t="n">
        <x:f>SUMIF($E$2:$E$267,E32,$J$2:$J$267)</x:f>
        <x:v>732.5423000000001</x:v>
      </x:c>
      <x:c r="T32" t="n">
        <x:f>IF(OR(NOT(ISNUMBER(Q32)),S32=0),"",Q32*('Conference pools'!$H$2/R32+'Conference pools'!$H$3*J32/S32))</x:f>
        <x:v>0</x:v>
      </x:c>
      <x:c r="U32" t="n">
        <x:f>IF(OR(NOT(ISNUMBER(P32)),NOT(ISNUMBER(T32))),"",T32-P32)</x:f>
        <x:v>0</x:v>
      </x:c>
      <x:c r="V32" s="8" t="str">
        <x:f>IF(OR(NOT(ISNUMBER(U32)),P32=0),"",U32/P32)</x:f>
      </x:c>
      <x:c r="W32" t="str">
        <x:f>IF(OR(NOT(ISNUMBER(T32)),NOT(ISNUMBER(K32))),"",T32-K32)</x:f>
      </x:c>
      <x:c r="X32" t="n">
        <x:f>IF(NOT(ISNUMBER(M32)),"",M32/N32)</x:f>
        <x:v>0</x:v>
      </x:c>
    </x:row>
    <x:row r="33">
      <x:c r="A33" t="str">
        <x:v>IOWA_STATE</x:v>
      </x:c>
      <x:c r="B33" t="str">
        <x:v>Iowa State University</x:v>
      </x:c>
      <x:c r="C33" t="str">
        <x:v>FBS</x:v>
      </x:c>
      <x:c r="D33" t="str">
        <x:v>Big 12</x:v>
      </x:c>
      <x:c r="E33" t="str">
        <x:v>Premier Heartland</x:v>
      </x:c>
      <x:c r="F33" t="n">
        <x:v>2</x:v>
      </x:c>
      <x:c r="G33" t="n">
        <x:v>0.6785</x:v>
      </x:c>
      <x:c r="H33" t="n">
        <x:v>0.5568</x:v>
      </x:c>
      <x:c r="I33" t="n">
        <x:v>62.1386</x:v>
      </x:c>
      <x:c r="J33" t="n">
        <x:f>IF(ISNUMBER(I33),MAX(1,I33),1)</x:f>
        <x:v>62.1386</x:v>
      </x:c>
      <x:c r="K33"/>
      <x:c r="L33" t="str">
        <x:v>NOT VERIFIED</x:v>
      </x:c>
      <x:c r="M33" t="n">
        <x:f>IF(COUNTIFS('Conference pools'!$A$2:$A$25,D33,'Conference pools'!$D$2:$D$25,"&gt;=0")=0,"",SUMIF('Conference pools'!$A$2:$A$25,D33,'Conference pools'!$D$2:$D$25))</x:f>
        <x:v>0</x:v>
      </x:c>
      <x:c r="N33" t="n">
        <x:f>COUNTIF($D$2:$D$267,D33)</x:f>
        <x:v>16</x:v>
      </x:c>
      <x:c r="O33" t="n">
        <x:f>SUMIF($D$2:$D$267,D33,$J$2:$J$267)</x:f>
        <x:v>905.6582</x:v>
      </x:c>
      <x:c r="P33" t="n">
        <x:f>IF(OR(NOT(ISNUMBER(M33)),O33=0),"",M33*('Conference pools'!$H$2/N33+'Conference pools'!$H$3*J33/O33))</x:f>
        <x:v>0</x:v>
      </x:c>
      <x:c r="Q33" t="n">
        <x:f>IF(COUNTIFS($E$2:$E$267,E33,$X$2:$X$267,"&lt;&gt;")&lt;&gt;COUNTIF($E$2:$E$267,E33),"",SUMIF($E$2:$E$267,E33,$X$2:$X$267))</x:f>
        <x:v>0</x:v>
      </x:c>
      <x:c r="R33" t="n">
        <x:f>COUNTIF($E$2:$E$267,E33)</x:f>
        <x:v>12</x:v>
      </x:c>
      <x:c r="S33" t="n">
        <x:f>SUMIF($E$2:$E$267,E33,$J$2:$J$267)</x:f>
        <x:v>732.5423000000001</x:v>
      </x:c>
      <x:c r="T33" t="n">
        <x:f>IF(OR(NOT(ISNUMBER(Q33)),S33=0),"",Q33*('Conference pools'!$H$2/R33+'Conference pools'!$H$3*J33/S33))</x:f>
        <x:v>0</x:v>
      </x:c>
      <x:c r="U33" t="n">
        <x:f>IF(OR(NOT(ISNUMBER(P33)),NOT(ISNUMBER(T33))),"",T33-P33)</x:f>
        <x:v>0</x:v>
      </x:c>
      <x:c r="V33" s="8" t="str">
        <x:f>IF(OR(NOT(ISNUMBER(U33)),P33=0),"",U33/P33)</x:f>
      </x:c>
      <x:c r="W33" t="str">
        <x:f>IF(OR(NOT(ISNUMBER(T33)),NOT(ISNUMBER(K33))),"",T33-K33)</x:f>
      </x:c>
      <x:c r="X33" t="n">
        <x:f>IF(NOT(ISNUMBER(M33)),"",M33/N33)</x:f>
        <x:v>0</x:v>
      </x:c>
    </x:row>
    <x:row r="34">
      <x:c r="A34" t="str">
        <x:v>KANSAS_STATE</x:v>
      </x:c>
      <x:c r="B34" t="str">
        <x:v>Kansas State University</x:v>
      </x:c>
      <x:c r="C34" t="str">
        <x:v>FBS</x:v>
      </x:c>
      <x:c r="D34" t="str">
        <x:v>Big 12</x:v>
      </x:c>
      <x:c r="E34" t="str">
        <x:v>Premier Heartland</x:v>
      </x:c>
      <x:c r="F34" t="n">
        <x:v>2</x:v>
      </x:c>
      <x:c r="G34" t="n">
        <x:v>0.6186</x:v>
      </x:c>
      <x:c r="H34" t="n">
        <x:v>0.5518</x:v>
      </x:c>
      <x:c r="I34" t="n">
        <x:v>62.3263</x:v>
      </x:c>
      <x:c r="J34" t="n">
        <x:f>IF(ISNUMBER(I34),MAX(1,I34),1)</x:f>
        <x:v>62.3263</x:v>
      </x:c>
      <x:c r="K34"/>
      <x:c r="L34" t="str">
        <x:v>NOT VERIFIED</x:v>
      </x:c>
      <x:c r="M34" t="n">
        <x:f>IF(COUNTIFS('Conference pools'!$A$2:$A$25,D34,'Conference pools'!$D$2:$D$25,"&gt;=0")=0,"",SUMIF('Conference pools'!$A$2:$A$25,D34,'Conference pools'!$D$2:$D$25))</x:f>
        <x:v>0</x:v>
      </x:c>
      <x:c r="N34" t="n">
        <x:f>COUNTIF($D$2:$D$267,D34)</x:f>
        <x:v>16</x:v>
      </x:c>
      <x:c r="O34" t="n">
        <x:f>SUMIF($D$2:$D$267,D34,$J$2:$J$267)</x:f>
        <x:v>905.6582</x:v>
      </x:c>
      <x:c r="P34" t="n">
        <x:f>IF(OR(NOT(ISNUMBER(M34)),O34=0),"",M34*('Conference pools'!$H$2/N34+'Conference pools'!$H$3*J34/O34))</x:f>
        <x:v>0</x:v>
      </x:c>
      <x:c r="Q34" t="n">
        <x:f>IF(COUNTIFS($E$2:$E$267,E34,$X$2:$X$267,"&lt;&gt;")&lt;&gt;COUNTIF($E$2:$E$267,E34),"",SUMIF($E$2:$E$267,E34,$X$2:$X$267))</x:f>
        <x:v>0</x:v>
      </x:c>
      <x:c r="R34" t="n">
        <x:f>COUNTIF($E$2:$E$267,E34)</x:f>
        <x:v>12</x:v>
      </x:c>
      <x:c r="S34" t="n">
        <x:f>SUMIF($E$2:$E$267,E34,$J$2:$J$267)</x:f>
        <x:v>732.5423000000001</x:v>
      </x:c>
      <x:c r="T34" t="n">
        <x:f>IF(OR(NOT(ISNUMBER(Q34)),S34=0),"",Q34*('Conference pools'!$H$2/R34+'Conference pools'!$H$3*J34/S34))</x:f>
        <x:v>0</x:v>
      </x:c>
      <x:c r="U34" t="n">
        <x:f>IF(OR(NOT(ISNUMBER(P34)),NOT(ISNUMBER(T34))),"",T34-P34)</x:f>
        <x:v>0</x:v>
      </x:c>
      <x:c r="V34" s="8" t="str">
        <x:f>IF(OR(NOT(ISNUMBER(U34)),P34=0),"",U34/P34)</x:f>
      </x:c>
      <x:c r="W34" t="str">
        <x:f>IF(OR(NOT(ISNUMBER(T34)),NOT(ISNUMBER(K34))),"",T34-K34)</x:f>
      </x:c>
      <x:c r="X34" t="n">
        <x:f>IF(NOT(ISNUMBER(M34)),"",M34/N34)</x:f>
        <x:v>0</x:v>
      </x:c>
    </x:row>
    <x:row r="35">
      <x:c r="A35" t="str">
        <x:v>MINNESOTA</x:v>
      </x:c>
      <x:c r="B35" t="str">
        <x:v>University of Minnesota Twin Cities</x:v>
      </x:c>
      <x:c r="C35" t="str">
        <x:v>FBS</x:v>
      </x:c>
      <x:c r="D35" t="str">
        <x:v>Big Ten</x:v>
      </x:c>
      <x:c r="E35" t="str">
        <x:v>Premier Heartland</x:v>
      </x:c>
      <x:c r="F35" t="n">
        <x:v>2</x:v>
      </x:c>
      <x:c r="G35" t="n">
        <x:v>0.5765</x:v>
      </x:c>
      <x:c r="H35" t="n">
        <x:v>0.5277</x:v>
      </x:c>
      <x:c r="I35" t="n">
        <x:v>57.5948</x:v>
      </x:c>
      <x:c r="J35" t="n">
        <x:f>IF(ISNUMBER(I35),MAX(1,I35),1)</x:f>
        <x:v>57.5948</x:v>
      </x:c>
      <x:c r="K35"/>
      <x:c r="L35" t="str">
        <x:v>NOT VERIFIED</x:v>
      </x:c>
      <x:c r="M35" t="n">
        <x:f>IF(COUNTIFS('Conference pools'!$A$2:$A$25,D35,'Conference pools'!$D$2:$D$25,"&gt;=0")=0,"",SUMIF('Conference pools'!$A$2:$A$25,D35,'Conference pools'!$D$2:$D$25))</x:f>
        <x:v>0</x:v>
      </x:c>
      <x:c r="N35" t="n">
        <x:f>COUNTIF($D$2:$D$267,D35)</x:f>
        <x:v>18</x:v>
      </x:c>
      <x:c r="O35" t="n">
        <x:f>SUMIF($D$2:$D$267,D35,$J$2:$J$267)</x:f>
        <x:v>1068.7005</x:v>
      </x:c>
      <x:c r="P35" t="n">
        <x:f>IF(OR(NOT(ISNUMBER(M35)),O35=0),"",M35*('Conference pools'!$H$2/N35+'Conference pools'!$H$3*J35/O35))</x:f>
        <x:v>0</x:v>
      </x:c>
      <x:c r="Q35" t="n">
        <x:f>IF(COUNTIFS($E$2:$E$267,E35,$X$2:$X$267,"&lt;&gt;")&lt;&gt;COUNTIF($E$2:$E$267,E35),"",SUMIF($E$2:$E$267,E35,$X$2:$X$267))</x:f>
        <x:v>0</x:v>
      </x:c>
      <x:c r="R35" t="n">
        <x:f>COUNTIF($E$2:$E$267,E35)</x:f>
        <x:v>12</x:v>
      </x:c>
      <x:c r="S35" t="n">
        <x:f>SUMIF($E$2:$E$267,E35,$J$2:$J$267)</x:f>
        <x:v>732.5423000000001</x:v>
      </x:c>
      <x:c r="T35" t="n">
        <x:f>IF(OR(NOT(ISNUMBER(Q35)),S35=0),"",Q35*('Conference pools'!$H$2/R35+'Conference pools'!$H$3*J35/S35))</x:f>
        <x:v>0</x:v>
      </x:c>
      <x:c r="U35" t="n">
        <x:f>IF(OR(NOT(ISNUMBER(P35)),NOT(ISNUMBER(T35))),"",T35-P35)</x:f>
        <x:v>0</x:v>
      </x:c>
      <x:c r="V35" s="8" t="str">
        <x:f>IF(OR(NOT(ISNUMBER(U35)),P35=0),"",U35/P35)</x:f>
      </x:c>
      <x:c r="W35" t="str">
        <x:f>IF(OR(NOT(ISNUMBER(T35)),NOT(ISNUMBER(K35))),"",T35-K35)</x:f>
      </x:c>
      <x:c r="X35" t="n">
        <x:f>IF(NOT(ISNUMBER(M35)),"",M35/N35)</x:f>
        <x:v>0</x:v>
      </x:c>
    </x:row>
    <x:row r="36">
      <x:c r="A36" t="str">
        <x:v>MISSOURI_STATE</x:v>
      </x:c>
      <x:c r="B36" t="str">
        <x:v>Missouri State University</x:v>
      </x:c>
      <x:c r="C36" t="str">
        <x:v>FBS</x:v>
      </x:c>
      <x:c r="D36" t="str">
        <x:v>Conference USA</x:v>
      </x:c>
      <x:c r="E36" t="str">
        <x:v>Premier Heartland</x:v>
      </x:c>
      <x:c r="F36" t="n">
        <x:v>7</x:v>
      </x:c>
      <x:c r="G36" t="n">
        <x:v>0.5421</x:v>
      </x:c>
      <x:c r="H36" t="n">
        <x:v>0.4973</x:v>
      </x:c>
      <x:c r="I36" t="n">
        <x:v>48.589</x:v>
      </x:c>
      <x:c r="J36" t="n">
        <x:f>IF(ISNUMBER(I36),MAX(1,I36),1)</x:f>
        <x:v>48.589</x:v>
      </x:c>
      <x:c r="K36"/>
      <x:c r="L36" t="str">
        <x:v>NOT VERIFIED</x:v>
      </x:c>
      <x:c r="M36" t="n">
        <x:f>IF(COUNTIFS('Conference pools'!$A$2:$A$25,D36,'Conference pools'!$D$2:$D$25,"&gt;=0")=0,"",SUMIF('Conference pools'!$A$2:$A$25,D36,'Conference pools'!$D$2:$D$25))</x:f>
        <x:v>0</x:v>
      </x:c>
      <x:c r="N36" t="n">
        <x:f>COUNTIF($D$2:$D$267,D36)</x:f>
        <x:v>10</x:v>
      </x:c>
      <x:c r="O36" t="n">
        <x:f>SUMIF($D$2:$D$267,D36,$J$2:$J$267)</x:f>
        <x:v>487.94570000000004</x:v>
      </x:c>
      <x:c r="P36" t="n">
        <x:f>IF(OR(NOT(ISNUMBER(M36)),O36=0),"",M36*('Conference pools'!$H$2/N36+'Conference pools'!$H$3*J36/O36))</x:f>
        <x:v>0</x:v>
      </x:c>
      <x:c r="Q36" t="n">
        <x:f>IF(COUNTIFS($E$2:$E$267,E36,$X$2:$X$267,"&lt;&gt;")&lt;&gt;COUNTIF($E$2:$E$267,E36),"",SUMIF($E$2:$E$267,E36,$X$2:$X$267))</x:f>
        <x:v>0</x:v>
      </x:c>
      <x:c r="R36" t="n">
        <x:f>COUNTIF($E$2:$E$267,E36)</x:f>
        <x:v>12</x:v>
      </x:c>
      <x:c r="S36" t="n">
        <x:f>SUMIF($E$2:$E$267,E36,$J$2:$J$267)</x:f>
        <x:v>732.5423000000001</x:v>
      </x:c>
      <x:c r="T36" t="n">
        <x:f>IF(OR(NOT(ISNUMBER(Q36)),S36=0),"",Q36*('Conference pools'!$H$2/R36+'Conference pools'!$H$3*J36/S36))</x:f>
        <x:v>0</x:v>
      </x:c>
      <x:c r="U36" t="n">
        <x:f>IF(OR(NOT(ISNUMBER(P36)),NOT(ISNUMBER(T36))),"",T36-P36)</x:f>
        <x:v>0</x:v>
      </x:c>
      <x:c r="V36" s="8" t="str">
        <x:f>IF(OR(NOT(ISNUMBER(U36)),P36=0),"",U36/P36)</x:f>
      </x:c>
      <x:c r="W36" t="str">
        <x:f>IF(OR(NOT(ISNUMBER(T36)),NOT(ISNUMBER(K36))),"",T36-K36)</x:f>
      </x:c>
      <x:c r="X36" t="n">
        <x:f>IF(NOT(ISNUMBER(M36)),"",M36/N36)</x:f>
        <x:v>0</x:v>
      </x:c>
    </x:row>
    <x:row r="37">
      <x:c r="A37" t="str">
        <x:v>ARKANSAS_STATE</x:v>
      </x:c>
      <x:c r="B37" t="str">
        <x:v>Arkansas State University</x:v>
      </x:c>
      <x:c r="C37" t="str">
        <x:v>FBS</x:v>
      </x:c>
      <x:c r="D37" t="str">
        <x:v>Sun Belt</x:v>
      </x:c>
      <x:c r="E37" t="str">
        <x:v>Premier Heartland</x:v>
      </x:c>
      <x:c r="F37" t="n">
        <x:v>5</x:v>
      </x:c>
      <x:c r="G37" t="n">
        <x:v>0.5455</x:v>
      </x:c>
      <x:c r="H37" t="n">
        <x:v>0.4685</x:v>
      </x:c>
      <x:c r="I37" t="n">
        <x:v>50.8251</x:v>
      </x:c>
      <x:c r="J37" t="n">
        <x:f>IF(ISNUMBER(I37),MAX(1,I37),1)</x:f>
        <x:v>50.8251</x:v>
      </x:c>
      <x:c r="K37"/>
      <x:c r="L37" t="str">
        <x:v>NOT VERIFIED</x:v>
      </x:c>
      <x:c r="M37" t="n">
        <x:f>IF(COUNTIFS('Conference pools'!$A$2:$A$25,D37,'Conference pools'!$D$2:$D$25,"&gt;=0")=0,"",SUMIF('Conference pools'!$A$2:$A$25,D37,'Conference pools'!$D$2:$D$25))</x:f>
        <x:v>0</x:v>
      </x:c>
      <x:c r="N37" t="n">
        <x:f>COUNTIF($D$2:$D$267,D37)</x:f>
        <x:v>13</x:v>
      </x:c>
      <x:c r="O37" t="n">
        <x:f>SUMIF($D$2:$D$267,D37,$J$2:$J$267)</x:f>
        <x:v>670.3176</x:v>
      </x:c>
      <x:c r="P37" t="n">
        <x:f>IF(OR(NOT(ISNUMBER(M37)),O37=0),"",M37*('Conference pools'!$H$2/N37+'Conference pools'!$H$3*J37/O37))</x:f>
        <x:v>0</x:v>
      </x:c>
      <x:c r="Q37" t="n">
        <x:f>IF(COUNTIFS($E$2:$E$267,E37,$X$2:$X$267,"&lt;&gt;")&lt;&gt;COUNTIF($E$2:$E$267,E37),"",SUMIF($E$2:$E$267,E37,$X$2:$X$267))</x:f>
        <x:v>0</x:v>
      </x:c>
      <x:c r="R37" t="n">
        <x:f>COUNTIF($E$2:$E$267,E37)</x:f>
        <x:v>12</x:v>
      </x:c>
      <x:c r="S37" t="n">
        <x:f>SUMIF($E$2:$E$267,E37,$J$2:$J$267)</x:f>
        <x:v>732.5423000000001</x:v>
      </x:c>
      <x:c r="T37" t="n">
        <x:f>IF(OR(NOT(ISNUMBER(Q37)),S37=0),"",Q37*('Conference pools'!$H$2/R37+'Conference pools'!$H$3*J37/S37))</x:f>
        <x:v>0</x:v>
      </x:c>
      <x:c r="U37" t="n">
        <x:f>IF(OR(NOT(ISNUMBER(P37)),NOT(ISNUMBER(T37))),"",T37-P37)</x:f>
        <x:v>0</x:v>
      </x:c>
      <x:c r="V37" s="8" t="str">
        <x:f>IF(OR(NOT(ISNUMBER(U37)),P37=0),"",U37/P37)</x:f>
      </x:c>
      <x:c r="W37" t="str">
        <x:f>IF(OR(NOT(ISNUMBER(T37)),NOT(ISNUMBER(K37))),"",T37-K37)</x:f>
      </x:c>
      <x:c r="X37" t="n">
        <x:f>IF(NOT(ISNUMBER(M37)),"",M37/N37)</x:f>
        <x:v>0</x:v>
      </x:c>
    </x:row>
    <x:row r="38">
      <x:c r="A38" t="str">
        <x:v>TEXAS</x:v>
      </x:c>
      <x:c r="B38" t="str">
        <x:v>University of Texas at Austin</x:v>
      </x:c>
      <x:c r="C38" t="str">
        <x:v>FBS</x:v>
      </x:c>
      <x:c r="D38" t="str">
        <x:v>Southeastern Conference</x:v>
      </x:c>
      <x:c r="E38" t="str">
        <x:v>Premier Mountain</x:v>
      </x:c>
      <x:c r="F38" t="n">
        <x:v>1</x:v>
      </x:c>
      <x:c r="G38" t="n">
        <x:v>0.8077</x:v>
      </x:c>
      <x:c r="H38" t="n">
        <x:v>0.5619</x:v>
      </x:c>
      <x:c r="I38" t="n">
        <x:v>70.5696</x:v>
      </x:c>
      <x:c r="J38" t="n">
        <x:f>IF(ISNUMBER(I38),MAX(1,I38),1)</x:f>
        <x:v>70.5696</x:v>
      </x:c>
      <x:c r="K38"/>
      <x:c r="L38" t="str">
        <x:v>NOT VERIFIED</x:v>
      </x:c>
      <x:c r="M38" t="n">
        <x:f>IF(COUNTIFS('Conference pools'!$A$2:$A$25,D38,'Conference pools'!$D$2:$D$25,"&gt;=0")=0,"",SUMIF('Conference pools'!$A$2:$A$25,D38,'Conference pools'!$D$2:$D$25))</x:f>
        <x:v>0</x:v>
      </x:c>
      <x:c r="N38" t="n">
        <x:f>COUNTIF($D$2:$D$267,D38)</x:f>
        <x:v>16</x:v>
      </x:c>
      <x:c r="O38" t="n">
        <x:f>SUMIF($D$2:$D$267,D38,$J$2:$J$267)</x:f>
        <x:v>979.9415</x:v>
      </x:c>
      <x:c r="P38" t="n">
        <x:f>IF(OR(NOT(ISNUMBER(M38)),O38=0),"",M38*('Conference pools'!$H$2/N38+'Conference pools'!$H$3*J38/O38))</x:f>
        <x:v>0</x:v>
      </x:c>
      <x:c r="Q38" t="n">
        <x:f>IF(COUNTIFS($E$2:$E$267,E38,$X$2:$X$267,"&lt;&gt;")&lt;&gt;COUNTIF($E$2:$E$267,E38),"",SUMIF($E$2:$E$267,E38,$X$2:$X$267))</x:f>
        <x:v>0</x:v>
      </x:c>
      <x:c r="R38" t="n">
        <x:f>COUNTIF($E$2:$E$267,E38)</x:f>
        <x:v>12</x:v>
      </x:c>
      <x:c r="S38" t="n">
        <x:f>SUMIF($E$2:$E$267,E38,$J$2:$J$267)</x:f>
        <x:v>727.2049000000001</x:v>
      </x:c>
      <x:c r="T38" t="n">
        <x:f>IF(OR(NOT(ISNUMBER(Q38)),S38=0),"",Q38*('Conference pools'!$H$2/R38+'Conference pools'!$H$3*J38/S38))</x:f>
        <x:v>0</x:v>
      </x:c>
      <x:c r="U38" t="n">
        <x:f>IF(OR(NOT(ISNUMBER(P38)),NOT(ISNUMBER(T38))),"",T38-P38)</x:f>
        <x:v>0</x:v>
      </x:c>
      <x:c r="V38" s="8" t="str">
        <x:f>IF(OR(NOT(ISNUMBER(U38)),P38=0),"",U38/P38)</x:f>
      </x:c>
      <x:c r="W38" t="str">
        <x:f>IF(OR(NOT(ISNUMBER(T38)),NOT(ISNUMBER(K38))),"",T38-K38)</x:f>
      </x:c>
      <x:c r="X38" t="n">
        <x:f>IF(NOT(ISNUMBER(M38)),"",M38/N38)</x:f>
        <x:v>0</x:v>
      </x:c>
    </x:row>
    <x:row r="39">
      <x:c r="A39" t="str">
        <x:v>TULANE</x:v>
      </x:c>
      <x:c r="B39" t="str">
        <x:v>Tulane University</x:v>
      </x:c>
      <x:c r="C39" t="str">
        <x:v>FBS</x:v>
      </x:c>
      <x:c r="D39" t="str">
        <x:v>American Athletic</x:v>
      </x:c>
      <x:c r="E39" t="str">
        <x:v>Premier Mountain</x:v>
      </x:c>
      <x:c r="F39" t="n">
        <x:v>2</x:v>
      </x:c>
      <x:c r="G39" t="n">
        <x:v>0.7365</x:v>
      </x:c>
      <x:c r="H39" t="n">
        <x:v>0.5392</x:v>
      </x:c>
      <x:c r="I39" t="n">
        <x:v>62.8866</x:v>
      </x:c>
      <x:c r="J39" t="n">
        <x:f>IF(ISNUMBER(I39),MAX(1,I39),1)</x:f>
        <x:v>62.8866</x:v>
      </x:c>
      <x:c r="K39"/>
      <x:c r="L39" t="str">
        <x:v>NOT VERIFIED</x:v>
      </x:c>
      <x:c r="M39" t="n">
        <x:f>IF(COUNTIFS('Conference pools'!$A$2:$A$25,D39,'Conference pools'!$D$2:$D$25,"&gt;=0")=0,"",SUMIF('Conference pools'!$A$2:$A$25,D39,'Conference pools'!$D$2:$D$25))</x:f>
        <x:v>0</x:v>
      </x:c>
      <x:c r="N39" t="n">
        <x:f>COUNTIF($D$2:$D$267,D39)</x:f>
        <x:v>14</x:v>
      </x:c>
      <x:c r="O39" t="n">
        <x:f>SUMIF($D$2:$D$267,D39,$J$2:$J$267)</x:f>
        <x:v>720.9868000000001</x:v>
      </x:c>
      <x:c r="P39" t="n">
        <x:f>IF(OR(NOT(ISNUMBER(M39)),O39=0),"",M39*('Conference pools'!$H$2/N39+'Conference pools'!$H$3*J39/O39))</x:f>
        <x:v>0</x:v>
      </x:c>
      <x:c r="Q39" t="n">
        <x:f>IF(COUNTIFS($E$2:$E$267,E39,$X$2:$X$267,"&lt;&gt;")&lt;&gt;COUNTIF($E$2:$E$267,E39),"",SUMIF($E$2:$E$267,E39,$X$2:$X$267))</x:f>
        <x:v>0</x:v>
      </x:c>
      <x:c r="R39" t="n">
        <x:f>COUNTIF($E$2:$E$267,E39)</x:f>
        <x:v>12</x:v>
      </x:c>
      <x:c r="S39" t="n">
        <x:f>SUMIF($E$2:$E$267,E39,$J$2:$J$267)</x:f>
        <x:v>727.2049000000001</x:v>
      </x:c>
      <x:c r="T39" t="n">
        <x:f>IF(OR(NOT(ISNUMBER(Q39)),S39=0),"",Q39*('Conference pools'!$H$2/R39+'Conference pools'!$H$3*J39/S39))</x:f>
        <x:v>0</x:v>
      </x:c>
      <x:c r="U39" t="n">
        <x:f>IF(OR(NOT(ISNUMBER(P39)),NOT(ISNUMBER(T39))),"",T39-P39)</x:f>
        <x:v>0</x:v>
      </x:c>
      <x:c r="V39" s="8" t="str">
        <x:f>IF(OR(NOT(ISNUMBER(U39)),P39=0),"",U39/P39)</x:f>
      </x:c>
      <x:c r="W39" t="str">
        <x:f>IF(OR(NOT(ISNUMBER(T39)),NOT(ISNUMBER(K39))),"",T39-K39)</x:f>
      </x:c>
      <x:c r="X39" t="n">
        <x:f>IF(NOT(ISNUMBER(M39)),"",M39/N39)</x:f>
        <x:v>0</x:v>
      </x:c>
    </x:row>
    <x:row r="40">
      <x:c r="A40" t="str">
        <x:v>SMU</x:v>
      </x:c>
      <x:c r="B40" t="str">
        <x:v>Southern Methodist University</x:v>
      </x:c>
      <x:c r="C40" t="str">
        <x:v>FBS</x:v>
      </x:c>
      <x:c r="D40" t="str">
        <x:v>Atlantic Coast Conference</x:v>
      </x:c>
      <x:c r="E40" t="str">
        <x:v>Premier Mountain</x:v>
      </x:c>
      <x:c r="F40" t="n">
        <x:v>1</x:v>
      </x:c>
      <x:c r="G40" t="n">
        <x:v>0.7498</x:v>
      </x:c>
      <x:c r="H40" t="n">
        <x:v>0.5027</x:v>
      </x:c>
      <x:c r="I40" t="n">
        <x:v>65.5335</x:v>
      </x:c>
      <x:c r="J40" t="n">
        <x:f>IF(ISNUMBER(I40),MAX(1,I40),1)</x:f>
        <x:v>65.5335</x:v>
      </x:c>
      <x:c r="K40"/>
      <x:c r="L40" t="str">
        <x:v>NOT VERIFIED</x:v>
      </x:c>
      <x:c r="M40" t="n">
        <x:f>IF(COUNTIFS('Conference pools'!$A$2:$A$25,D40,'Conference pools'!$D$2:$D$25,"&gt;=0")=0,"",SUMIF('Conference pools'!$A$2:$A$25,D40,'Conference pools'!$D$2:$D$25))</x:f>
        <x:v>0</x:v>
      </x:c>
      <x:c r="N40" t="n">
        <x:f>COUNTIF($D$2:$D$267,D40)</x:f>
        <x:v>17</x:v>
      </x:c>
      <x:c r="O40" t="n">
        <x:f>SUMIF($D$2:$D$267,D40,$J$2:$J$267)</x:f>
        <x:v>952.8619000000001</x:v>
      </x:c>
      <x:c r="P40" t="n">
        <x:f>IF(OR(NOT(ISNUMBER(M40)),O40=0),"",M40*('Conference pools'!$H$2/N40+'Conference pools'!$H$3*J40/O40))</x:f>
        <x:v>0</x:v>
      </x:c>
      <x:c r="Q40" t="n">
        <x:f>IF(COUNTIFS($E$2:$E$267,E40,$X$2:$X$267,"&lt;&gt;")&lt;&gt;COUNTIF($E$2:$E$267,E40),"",SUMIF($E$2:$E$267,E40,$X$2:$X$267))</x:f>
        <x:v>0</x:v>
      </x:c>
      <x:c r="R40" t="n">
        <x:f>COUNTIF($E$2:$E$267,E40)</x:f>
        <x:v>12</x:v>
      </x:c>
      <x:c r="S40" t="n">
        <x:f>SUMIF($E$2:$E$267,E40,$J$2:$J$267)</x:f>
        <x:v>727.2049000000001</x:v>
      </x:c>
      <x:c r="T40" t="n">
        <x:f>IF(OR(NOT(ISNUMBER(Q40)),S40=0),"",Q40*('Conference pools'!$H$2/R40+'Conference pools'!$H$3*J40/S40))</x:f>
        <x:v>0</x:v>
      </x:c>
      <x:c r="U40" t="n">
        <x:f>IF(OR(NOT(ISNUMBER(P40)),NOT(ISNUMBER(T40))),"",T40-P40)</x:f>
        <x:v>0</x:v>
      </x:c>
      <x:c r="V40" s="8" t="str">
        <x:f>IF(OR(NOT(ISNUMBER(U40)),P40=0),"",U40/P40)</x:f>
      </x:c>
      <x:c r="W40" t="str">
        <x:f>IF(OR(NOT(ISNUMBER(T40)),NOT(ISNUMBER(K40))),"",T40-K40)</x:f>
      </x:c>
      <x:c r="X40" t="n">
        <x:f>IF(NOT(ISNUMBER(M40)),"",M40/N40)</x:f>
        <x:v>0</x:v>
      </x:c>
    </x:row>
    <x:row r="41">
      <x:c r="A41" t="str">
        <x:v>TEXAS_TECH</x:v>
      </x:c>
      <x:c r="B41" t="str">
        <x:v>Texas Tech University</x:v>
      </x:c>
      <x:c r="C41" t="str">
        <x:v>FBS</x:v>
      </x:c>
      <x:c r="D41" t="str">
        <x:v>Big 12</x:v>
      </x:c>
      <x:c r="E41" t="str">
        <x:v>Premier Mountain</x:v>
      </x:c>
      <x:c r="F41" t="n">
        <x:v>2</x:v>
      </x:c>
      <x:c r="G41" t="n">
        <x:v>0.6981</x:v>
      </x:c>
      <x:c r="H41" t="n">
        <x:v>0.5527</x:v>
      </x:c>
      <x:c r="I41" t="n">
        <x:v>63.1554</x:v>
      </x:c>
      <x:c r="J41" t="n">
        <x:f>IF(ISNUMBER(I41),MAX(1,I41),1)</x:f>
        <x:v>63.1554</x:v>
      </x:c>
      <x:c r="K41"/>
      <x:c r="L41" t="str">
        <x:v>NOT VERIFIED</x:v>
      </x:c>
      <x:c r="M41" t="n">
        <x:f>IF(COUNTIFS('Conference pools'!$A$2:$A$25,D41,'Conference pools'!$D$2:$D$25,"&gt;=0")=0,"",SUMIF('Conference pools'!$A$2:$A$25,D41,'Conference pools'!$D$2:$D$25))</x:f>
        <x:v>0</x:v>
      </x:c>
      <x:c r="N41" t="n">
        <x:f>COUNTIF($D$2:$D$267,D41)</x:f>
        <x:v>16</x:v>
      </x:c>
      <x:c r="O41" t="n">
        <x:f>SUMIF($D$2:$D$267,D41,$J$2:$J$267)</x:f>
        <x:v>905.6582</x:v>
      </x:c>
      <x:c r="P41" t="n">
        <x:f>IF(OR(NOT(ISNUMBER(M41)),O41=0),"",M41*('Conference pools'!$H$2/N41+'Conference pools'!$H$3*J41/O41))</x:f>
        <x:v>0</x:v>
      </x:c>
      <x:c r="Q41" t="n">
        <x:f>IF(COUNTIFS($E$2:$E$267,E41,$X$2:$X$267,"&lt;&gt;")&lt;&gt;COUNTIF($E$2:$E$267,E41),"",SUMIF($E$2:$E$267,E41,$X$2:$X$267))</x:f>
        <x:v>0</x:v>
      </x:c>
      <x:c r="R41" t="n">
        <x:f>COUNTIF($E$2:$E$267,E41)</x:f>
        <x:v>12</x:v>
      </x:c>
      <x:c r="S41" t="n">
        <x:f>SUMIF($E$2:$E$267,E41,$J$2:$J$267)</x:f>
        <x:v>727.2049000000001</x:v>
      </x:c>
      <x:c r="T41" t="n">
        <x:f>IF(OR(NOT(ISNUMBER(Q41)),S41=0),"",Q41*('Conference pools'!$H$2/R41+'Conference pools'!$H$3*J41/S41))</x:f>
        <x:v>0</x:v>
      </x:c>
      <x:c r="U41" t="n">
        <x:f>IF(OR(NOT(ISNUMBER(P41)),NOT(ISNUMBER(T41))),"",T41-P41)</x:f>
        <x:v>0</x:v>
      </x:c>
      <x:c r="V41" s="8" t="str">
        <x:f>IF(OR(NOT(ISNUMBER(U41)),P41=0),"",U41/P41)</x:f>
      </x:c>
      <x:c r="W41" t="str">
        <x:f>IF(OR(NOT(ISNUMBER(T41)),NOT(ISNUMBER(K41))),"",T41-K41)</x:f>
      </x:c>
      <x:c r="X41" t="n">
        <x:f>IF(NOT(ISNUMBER(M41)),"",M41/N41)</x:f>
        <x:v>0</x:v>
      </x:c>
    </x:row>
    <x:row r="42">
      <x:c r="A42" t="str">
        <x:v>LSU</x:v>
      </x:c>
      <x:c r="B42" t="str">
        <x:v>Louisiana State University</x:v>
      </x:c>
      <x:c r="C42" t="str">
        <x:v>FBS</x:v>
      </x:c>
      <x:c r="D42" t="str">
        <x:v>Southeastern Conference</x:v>
      </x:c>
      <x:c r="E42" t="str">
        <x:v>Premier Mountain</x:v>
      </x:c>
      <x:c r="F42" t="n">
        <x:v>1</x:v>
      </x:c>
      <x:c r="G42" t="n">
        <x:v>0.6499</x:v>
      </x:c>
      <x:c r="H42" t="n">
        <x:v>0.5961</x:v>
      </x:c>
      <x:c r="I42" t="n">
        <x:v>64.8519</x:v>
      </x:c>
      <x:c r="J42" t="n">
        <x:f>IF(ISNUMBER(I42),MAX(1,I42),1)</x:f>
        <x:v>64.8519</x:v>
      </x:c>
      <x:c r="K42"/>
      <x:c r="L42" t="str">
        <x:v>NOT VERIFIED</x:v>
      </x:c>
      <x:c r="M42" t="n">
        <x:f>IF(COUNTIFS('Conference pools'!$A$2:$A$25,D42,'Conference pools'!$D$2:$D$25,"&gt;=0")=0,"",SUMIF('Conference pools'!$A$2:$A$25,D42,'Conference pools'!$D$2:$D$25))</x:f>
        <x:v>0</x:v>
      </x:c>
      <x:c r="N42" t="n">
        <x:f>COUNTIF($D$2:$D$267,D42)</x:f>
        <x:v>16</x:v>
      </x:c>
      <x:c r="O42" t="n">
        <x:f>SUMIF($D$2:$D$267,D42,$J$2:$J$267)</x:f>
        <x:v>979.9415</x:v>
      </x:c>
      <x:c r="P42" t="n">
        <x:f>IF(OR(NOT(ISNUMBER(M42)),O42=0),"",M42*('Conference pools'!$H$2/N42+'Conference pools'!$H$3*J42/O42))</x:f>
        <x:v>0</x:v>
      </x:c>
      <x:c r="Q42" t="n">
        <x:f>IF(COUNTIFS($E$2:$E$267,E42,$X$2:$X$267,"&lt;&gt;")&lt;&gt;COUNTIF($E$2:$E$267,E42),"",SUMIF($E$2:$E$267,E42,$X$2:$X$267))</x:f>
        <x:v>0</x:v>
      </x:c>
      <x:c r="R42" t="n">
        <x:f>COUNTIF($E$2:$E$267,E42)</x:f>
        <x:v>12</x:v>
      </x:c>
      <x:c r="S42" t="n">
        <x:f>SUMIF($E$2:$E$267,E42,$J$2:$J$267)</x:f>
        <x:v>727.2049000000001</x:v>
      </x:c>
      <x:c r="T42" t="n">
        <x:f>IF(OR(NOT(ISNUMBER(Q42)),S42=0),"",Q42*('Conference pools'!$H$2/R42+'Conference pools'!$H$3*J42/S42))</x:f>
        <x:v>0</x:v>
      </x:c>
      <x:c r="U42" t="n">
        <x:f>IF(OR(NOT(ISNUMBER(P42)),NOT(ISNUMBER(T42))),"",T42-P42)</x:f>
        <x:v>0</x:v>
      </x:c>
      <x:c r="V42" s="8" t="str">
        <x:f>IF(OR(NOT(ISNUMBER(U42)),P42=0),"",U42/P42)</x:f>
      </x:c>
      <x:c r="W42" t="str">
        <x:f>IF(OR(NOT(ISNUMBER(T42)),NOT(ISNUMBER(K42))),"",T42-K42)</x:f>
      </x:c>
      <x:c r="X42" t="n">
        <x:f>IF(NOT(ISNUMBER(M42)),"",M42/N42)</x:f>
        <x:v>0</x:v>
      </x:c>
    </x:row>
    <x:row r="43">
      <x:c r="A43" t="str">
        <x:v>TCU</x:v>
      </x:c>
      <x:c r="B43" t="str">
        <x:v>Texas Christian University</x:v>
      </x:c>
      <x:c r="C43" t="str">
        <x:v>FBS</x:v>
      </x:c>
      <x:c r="D43" t="str">
        <x:v>Big 12</x:v>
      </x:c>
      <x:c r="E43" t="str">
        <x:v>Premier Mountain</x:v>
      </x:c>
      <x:c r="F43" t="n">
        <x:v>2</x:v>
      </x:c>
      <x:c r="G43" t="n">
        <x:v>0.6267</x:v>
      </x:c>
      <x:c r="H43" t="n">
        <x:v>0.5226</x:v>
      </x:c>
      <x:c r="I43" t="n">
        <x:v>60.6632</x:v>
      </x:c>
      <x:c r="J43" t="n">
        <x:f>IF(ISNUMBER(I43),MAX(1,I43),1)</x:f>
        <x:v>60.6632</x:v>
      </x:c>
      <x:c r="K43"/>
      <x:c r="L43" t="str">
        <x:v>NOT VERIFIED</x:v>
      </x:c>
      <x:c r="M43" t="n">
        <x:f>IF(COUNTIFS('Conference pools'!$A$2:$A$25,D43,'Conference pools'!$D$2:$D$25,"&gt;=0")=0,"",SUMIF('Conference pools'!$A$2:$A$25,D43,'Conference pools'!$D$2:$D$25))</x:f>
        <x:v>0</x:v>
      </x:c>
      <x:c r="N43" t="n">
        <x:f>COUNTIF($D$2:$D$267,D43)</x:f>
        <x:v>16</x:v>
      </x:c>
      <x:c r="O43" t="n">
        <x:f>SUMIF($D$2:$D$267,D43,$J$2:$J$267)</x:f>
        <x:v>905.6582</x:v>
      </x:c>
      <x:c r="P43" t="n">
        <x:f>IF(OR(NOT(ISNUMBER(M43)),O43=0),"",M43*('Conference pools'!$H$2/N43+'Conference pools'!$H$3*J43/O43))</x:f>
        <x:v>0</x:v>
      </x:c>
      <x:c r="Q43" t="n">
        <x:f>IF(COUNTIFS($E$2:$E$267,E43,$X$2:$X$267,"&lt;&gt;")&lt;&gt;COUNTIF($E$2:$E$267,E43),"",SUMIF($E$2:$E$267,E43,$X$2:$X$267))</x:f>
        <x:v>0</x:v>
      </x:c>
      <x:c r="R43" t="n">
        <x:f>COUNTIF($E$2:$E$267,E43)</x:f>
        <x:v>12</x:v>
      </x:c>
      <x:c r="S43" t="n">
        <x:f>SUMIF($E$2:$E$267,E43,$J$2:$J$267)</x:f>
        <x:v>727.2049000000001</x:v>
      </x:c>
      <x:c r="T43" t="n">
        <x:f>IF(OR(NOT(ISNUMBER(Q43)),S43=0),"",Q43*('Conference pools'!$H$2/R43+'Conference pools'!$H$3*J43/S43))</x:f>
        <x:v>0</x:v>
      </x:c>
      <x:c r="U43" t="n">
        <x:f>IF(OR(NOT(ISNUMBER(P43)),NOT(ISNUMBER(T43))),"",T43-P43)</x:f>
        <x:v>0</x:v>
      </x:c>
      <x:c r="V43" s="8" t="str">
        <x:f>IF(OR(NOT(ISNUMBER(U43)),P43=0),"",U43/P43)</x:f>
      </x:c>
      <x:c r="W43" t="str">
        <x:f>IF(OR(NOT(ISNUMBER(T43)),NOT(ISNUMBER(K43))),"",T43-K43)</x:f>
      </x:c>
      <x:c r="X43" t="n">
        <x:f>IF(NOT(ISNUMBER(M43)),"",M43/N43)</x:f>
        <x:v>0</x:v>
      </x:c>
    </x:row>
    <x:row r="44">
      <x:c r="A44" t="str">
        <x:v>TEXAS_AM</x:v>
      </x:c>
      <x:c r="B44" t="str">
        <x:v>Texas A&amp;M University</x:v>
      </x:c>
      <x:c r="C44" t="str">
        <x:v>FBS</x:v>
      </x:c>
      <x:c r="D44" t="str">
        <x:v>Southeastern Conference</x:v>
      </x:c>
      <x:c r="E44" t="str">
        <x:v>Premier Mountain</x:v>
      </x:c>
      <x:c r="F44" t="n">
        <x:v>1</x:v>
      </x:c>
      <x:c r="G44" t="n">
        <x:v>0.6888</x:v>
      </x:c>
      <x:c r="H44" t="n">
        <x:v>0.5272</x:v>
      </x:c>
      <x:c r="I44" t="n">
        <x:v>64.2936</x:v>
      </x:c>
      <x:c r="J44" t="n">
        <x:f>IF(ISNUMBER(I44),MAX(1,I44),1)</x:f>
        <x:v>64.2936</x:v>
      </x:c>
      <x:c r="K44"/>
      <x:c r="L44" t="str">
        <x:v>NOT VERIFIED</x:v>
      </x:c>
      <x:c r="M44" t="n">
        <x:f>IF(COUNTIFS('Conference pools'!$A$2:$A$25,D44,'Conference pools'!$D$2:$D$25,"&gt;=0")=0,"",SUMIF('Conference pools'!$A$2:$A$25,D44,'Conference pools'!$D$2:$D$25))</x:f>
        <x:v>0</x:v>
      </x:c>
      <x:c r="N44" t="n">
        <x:f>COUNTIF($D$2:$D$267,D44)</x:f>
        <x:v>16</x:v>
      </x:c>
      <x:c r="O44" t="n">
        <x:f>SUMIF($D$2:$D$267,D44,$J$2:$J$267)</x:f>
        <x:v>979.9415</x:v>
      </x:c>
      <x:c r="P44" t="n">
        <x:f>IF(OR(NOT(ISNUMBER(M44)),O44=0),"",M44*('Conference pools'!$H$2/N44+'Conference pools'!$H$3*J44/O44))</x:f>
        <x:v>0</x:v>
      </x:c>
      <x:c r="Q44" t="n">
        <x:f>IF(COUNTIFS($E$2:$E$267,E44,$X$2:$X$267,"&lt;&gt;")&lt;&gt;COUNTIF($E$2:$E$267,E44),"",SUMIF($E$2:$E$267,E44,$X$2:$X$267))</x:f>
        <x:v>0</x:v>
      </x:c>
      <x:c r="R44" t="n">
        <x:f>COUNTIF($E$2:$E$267,E44)</x:f>
        <x:v>12</x:v>
      </x:c>
      <x:c r="S44" t="n">
        <x:f>SUMIF($E$2:$E$267,E44,$J$2:$J$267)</x:f>
        <x:v>727.2049000000001</x:v>
      </x:c>
      <x:c r="T44" t="n">
        <x:f>IF(OR(NOT(ISNUMBER(Q44)),S44=0),"",Q44*('Conference pools'!$H$2/R44+'Conference pools'!$H$3*J44/S44))</x:f>
        <x:v>0</x:v>
      </x:c>
      <x:c r="U44" t="n">
        <x:f>IF(OR(NOT(ISNUMBER(P44)),NOT(ISNUMBER(T44))),"",T44-P44)</x:f>
        <x:v>0</x:v>
      </x:c>
      <x:c r="V44" s="8" t="str">
        <x:f>IF(OR(NOT(ISNUMBER(U44)),P44=0),"",U44/P44)</x:f>
      </x:c>
      <x:c r="W44" t="str">
        <x:f>IF(OR(NOT(ISNUMBER(T44)),NOT(ISNUMBER(K44))),"",T44-K44)</x:f>
      </x:c>
      <x:c r="X44" t="n">
        <x:f>IF(NOT(ISNUMBER(M44)),"",M44/N44)</x:f>
        <x:v>0</x:v>
      </x:c>
    </x:row>
    <x:row r="45">
      <x:c r="A45" t="str">
        <x:v>UTSA</x:v>
      </x:c>
      <x:c r="B45" t="str">
        <x:v>University of Texas at San Antonio</x:v>
      </x:c>
      <x:c r="C45" t="str">
        <x:v>FBS</x:v>
      </x:c>
      <x:c r="D45" t="str">
        <x:v>American Athletic</x:v>
      </x:c>
      <x:c r="E45" t="str">
        <x:v>Premier Mountain</x:v>
      </x:c>
      <x:c r="F45" t="n">
        <x:v>3</x:v>
      </x:c>
      <x:c r="G45" t="n">
        <x:v>0.5774</x:v>
      </x:c>
      <x:c r="H45" t="n">
        <x:v>0.4979</x:v>
      </x:c>
      <x:c r="I45" t="n">
        <x:v>56.6648</x:v>
      </x:c>
      <x:c r="J45" t="n">
        <x:f>IF(ISNUMBER(I45),MAX(1,I45),1)</x:f>
        <x:v>56.6648</x:v>
      </x:c>
      <x:c r="K45"/>
      <x:c r="L45" t="str">
        <x:v>NOT VERIFIED</x:v>
      </x:c>
      <x:c r="M45" t="n">
        <x:f>IF(COUNTIFS('Conference pools'!$A$2:$A$25,D45,'Conference pools'!$D$2:$D$25,"&gt;=0")=0,"",SUMIF('Conference pools'!$A$2:$A$25,D45,'Conference pools'!$D$2:$D$25))</x:f>
        <x:v>0</x:v>
      </x:c>
      <x:c r="N45" t="n">
        <x:f>COUNTIF($D$2:$D$267,D45)</x:f>
        <x:v>14</x:v>
      </x:c>
      <x:c r="O45" t="n">
        <x:f>SUMIF($D$2:$D$267,D45,$J$2:$J$267)</x:f>
        <x:v>720.9868000000001</x:v>
      </x:c>
      <x:c r="P45" t="n">
        <x:f>IF(OR(NOT(ISNUMBER(M45)),O45=0),"",M45*('Conference pools'!$H$2/N45+'Conference pools'!$H$3*J45/O45))</x:f>
        <x:v>0</x:v>
      </x:c>
      <x:c r="Q45" t="n">
        <x:f>IF(COUNTIFS($E$2:$E$267,E45,$X$2:$X$267,"&lt;&gt;")&lt;&gt;COUNTIF($E$2:$E$267,E45),"",SUMIF($E$2:$E$267,E45,$X$2:$X$267))</x:f>
        <x:v>0</x:v>
      </x:c>
      <x:c r="R45" t="n">
        <x:f>COUNTIF($E$2:$E$267,E45)</x:f>
        <x:v>12</x:v>
      </x:c>
      <x:c r="S45" t="n">
        <x:f>SUMIF($E$2:$E$267,E45,$J$2:$J$267)</x:f>
        <x:v>727.2049000000001</x:v>
      </x:c>
      <x:c r="T45" t="n">
        <x:f>IF(OR(NOT(ISNUMBER(Q45)),S45=0),"",Q45*('Conference pools'!$H$2/R45+'Conference pools'!$H$3*J45/S45))</x:f>
        <x:v>0</x:v>
      </x:c>
      <x:c r="U45" t="n">
        <x:f>IF(OR(NOT(ISNUMBER(P45)),NOT(ISNUMBER(T45))),"",T45-P45)</x:f>
        <x:v>0</x:v>
      </x:c>
      <x:c r="V45" s="8" t="str">
        <x:f>IF(OR(NOT(ISNUMBER(U45)),P45=0),"",U45/P45)</x:f>
      </x:c>
      <x:c r="W45" t="str">
        <x:f>IF(OR(NOT(ISNUMBER(T45)),NOT(ISNUMBER(K45))),"",T45-K45)</x:f>
      </x:c>
      <x:c r="X45" t="n">
        <x:f>IF(NOT(ISNUMBER(M45)),"",M45/N45)</x:f>
        <x:v>0</x:v>
      </x:c>
    </x:row>
    <x:row r="46">
      <x:c r="A46" t="str">
        <x:v>NORTH_TEXAS</x:v>
      </x:c>
      <x:c r="B46" t="str">
        <x:v>University of North Texas</x:v>
      </x:c>
      <x:c r="C46" t="str">
        <x:v>FBS</x:v>
      </x:c>
      <x:c r="D46" t="str">
        <x:v>American Athletic</x:v>
      </x:c>
      <x:c r="E46" t="str">
        <x:v>Premier Mountain</x:v>
      </x:c>
      <x:c r="F46" t="n">
        <x:v>3</x:v>
      </x:c>
      <x:c r="G46" t="n">
        <x:v>0.6206</x:v>
      </x:c>
      <x:c r="H46" t="n">
        <x:v>0.5224</x:v>
      </x:c>
      <x:c r="I46" t="n">
        <x:v>56.1741</x:v>
      </x:c>
      <x:c r="J46" t="n">
        <x:f>IF(ISNUMBER(I46),MAX(1,I46),1)</x:f>
        <x:v>56.1741</x:v>
      </x:c>
      <x:c r="K46"/>
      <x:c r="L46" t="str">
        <x:v>NOT VERIFIED</x:v>
      </x:c>
      <x:c r="M46" t="n">
        <x:f>IF(COUNTIFS('Conference pools'!$A$2:$A$25,D46,'Conference pools'!$D$2:$D$25,"&gt;=0")=0,"",SUMIF('Conference pools'!$A$2:$A$25,D46,'Conference pools'!$D$2:$D$25))</x:f>
        <x:v>0</x:v>
      </x:c>
      <x:c r="N46" t="n">
        <x:f>COUNTIF($D$2:$D$267,D46)</x:f>
        <x:v>14</x:v>
      </x:c>
      <x:c r="O46" t="n">
        <x:f>SUMIF($D$2:$D$267,D46,$J$2:$J$267)</x:f>
        <x:v>720.9868000000001</x:v>
      </x:c>
      <x:c r="P46" t="n">
        <x:f>IF(OR(NOT(ISNUMBER(M46)),O46=0),"",M46*('Conference pools'!$H$2/N46+'Conference pools'!$H$3*J46/O46))</x:f>
        <x:v>0</x:v>
      </x:c>
      <x:c r="Q46" t="n">
        <x:f>IF(COUNTIFS($E$2:$E$267,E46,$X$2:$X$267,"&lt;&gt;")&lt;&gt;COUNTIF($E$2:$E$267,E46),"",SUMIF($E$2:$E$267,E46,$X$2:$X$267))</x:f>
        <x:v>0</x:v>
      </x:c>
      <x:c r="R46" t="n">
        <x:f>COUNTIF($E$2:$E$267,E46)</x:f>
        <x:v>12</x:v>
      </x:c>
      <x:c r="S46" t="n">
        <x:f>SUMIF($E$2:$E$267,E46,$J$2:$J$267)</x:f>
        <x:v>727.2049000000001</x:v>
      </x:c>
      <x:c r="T46" t="n">
        <x:f>IF(OR(NOT(ISNUMBER(Q46)),S46=0),"",Q46*('Conference pools'!$H$2/R46+'Conference pools'!$H$3*J46/S46))</x:f>
        <x:v>0</x:v>
      </x:c>
      <x:c r="U46" t="n">
        <x:f>IF(OR(NOT(ISNUMBER(P46)),NOT(ISNUMBER(T46))),"",T46-P46)</x:f>
        <x:v>0</x:v>
      </x:c>
      <x:c r="V46" s="8" t="str">
        <x:f>IF(OR(NOT(ISNUMBER(U46)),P46=0),"",U46/P46)</x:f>
      </x:c>
      <x:c r="W46" t="str">
        <x:f>IF(OR(NOT(ISNUMBER(T46)),NOT(ISNUMBER(K46))),"",T46-K46)</x:f>
      </x:c>
      <x:c r="X46" t="n">
        <x:f>IF(NOT(ISNUMBER(M46)),"",M46/N46)</x:f>
        <x:v>0</x:v>
      </x:c>
    </x:row>
    <x:row r="47">
      <x:c r="A47" t="str">
        <x:v>TEXAS_STATE</x:v>
      </x:c>
      <x:c r="B47" t="str">
        <x:v>Texas State University</x:v>
      </x:c>
      <x:c r="C47" t="str">
        <x:v>FBS</x:v>
      </x:c>
      <x:c r="D47" t="str">
        <x:v>Pac-12</x:v>
      </x:c>
      <x:c r="E47" t="str">
        <x:v>Premier Mountain</x:v>
      </x:c>
      <x:c r="F47" t="n">
        <x:v>4</x:v>
      </x:c>
      <x:c r="G47" t="n">
        <x:v>0.5844</x:v>
      </x:c>
      <x:c r="H47" t="n">
        <x:v>0.4793</x:v>
      </x:c>
      <x:c r="I47" t="n">
        <x:v>54.1335</x:v>
      </x:c>
      <x:c r="J47" t="n">
        <x:f>IF(ISNUMBER(I47),MAX(1,I47),1)</x:f>
        <x:v>54.1335</x:v>
      </x:c>
      <x:c r="K47"/>
      <x:c r="L47" t="str">
        <x:v>NOT VERIFIED</x:v>
      </x:c>
      <x:c r="M47" t="n">
        <x:f>IF(COUNTIFS('Conference pools'!$A$2:$A$25,D47,'Conference pools'!$D$2:$D$25,"&gt;=0")=0,"",SUMIF('Conference pools'!$A$2:$A$25,D47,'Conference pools'!$D$2:$D$25))</x:f>
        <x:v>0</x:v>
      </x:c>
      <x:c r="N47" t="n">
        <x:f>COUNTIF($D$2:$D$267,D47)</x:f>
        <x:v>8</x:v>
      </x:c>
      <x:c r="O47" t="n">
        <x:f>SUMIF($D$2:$D$267,D47,$J$2:$J$267)</x:f>
        <x:v>423.8017</x:v>
      </x:c>
      <x:c r="P47" t="n">
        <x:f>IF(OR(NOT(ISNUMBER(M47)),O47=0),"",M47*('Conference pools'!$H$2/N47+'Conference pools'!$H$3*J47/O47))</x:f>
        <x:v>0</x:v>
      </x:c>
      <x:c r="Q47" t="n">
        <x:f>IF(COUNTIFS($E$2:$E$267,E47,$X$2:$X$267,"&lt;&gt;")&lt;&gt;COUNTIF($E$2:$E$267,E47),"",SUMIF($E$2:$E$267,E47,$X$2:$X$267))</x:f>
        <x:v>0</x:v>
      </x:c>
      <x:c r="R47" t="n">
        <x:f>COUNTIF($E$2:$E$267,E47)</x:f>
        <x:v>12</x:v>
      </x:c>
      <x:c r="S47" t="n">
        <x:f>SUMIF($E$2:$E$267,E47,$J$2:$J$267)</x:f>
        <x:v>727.2049000000001</x:v>
      </x:c>
      <x:c r="T47" t="n">
        <x:f>IF(OR(NOT(ISNUMBER(Q47)),S47=0),"",Q47*('Conference pools'!$H$2/R47+'Conference pools'!$H$3*J47/S47))</x:f>
        <x:v>0</x:v>
      </x:c>
      <x:c r="U47" t="n">
        <x:f>IF(OR(NOT(ISNUMBER(P47)),NOT(ISNUMBER(T47))),"",T47-P47)</x:f>
        <x:v>0</x:v>
      </x:c>
      <x:c r="V47" s="8" t="str">
        <x:f>IF(OR(NOT(ISNUMBER(U47)),P47=0),"",U47/P47)</x:f>
      </x:c>
      <x:c r="W47" t="str">
        <x:f>IF(OR(NOT(ISNUMBER(T47)),NOT(ISNUMBER(K47))),"",T47-K47)</x:f>
      </x:c>
      <x:c r="X47" t="n">
        <x:f>IF(NOT(ISNUMBER(M47)),"",M47/N47)</x:f>
        <x:v>0</x:v>
      </x:c>
    </x:row>
    <x:row r="48">
      <x:c r="A48" t="str">
        <x:v>LOUISIANA</x:v>
      </x:c>
      <x:c r="B48" t="str">
        <x:v>University of Louisiana at Lafayette</x:v>
      </x:c>
      <x:c r="C48" t="str">
        <x:v>FBS</x:v>
      </x:c>
      <x:c r="D48" t="str">
        <x:v>Sun Belt</x:v>
      </x:c>
      <x:c r="E48" t="str">
        <x:v>Premier Mountain</x:v>
      </x:c>
      <x:c r="F48" t="n">
        <x:v>3</x:v>
      </x:c>
      <x:c r="G48" t="n">
        <x:v>0.553</x:v>
      </x:c>
      <x:c r="H48" t="n">
        <x:v>0.4651</x:v>
      </x:c>
      <x:c r="I48" t="n">
        <x:v>54.6402</x:v>
      </x:c>
      <x:c r="J48" t="n">
        <x:f>IF(ISNUMBER(I48),MAX(1,I48),1)</x:f>
        <x:v>54.6402</x:v>
      </x:c>
      <x:c r="K48"/>
      <x:c r="L48" t="str">
        <x:v>NOT VERIFIED</x:v>
      </x:c>
      <x:c r="M48" t="n">
        <x:f>IF(COUNTIFS('Conference pools'!$A$2:$A$25,D48,'Conference pools'!$D$2:$D$25,"&gt;=0")=0,"",SUMIF('Conference pools'!$A$2:$A$25,D48,'Conference pools'!$D$2:$D$25))</x:f>
        <x:v>0</x:v>
      </x:c>
      <x:c r="N48" t="n">
        <x:f>COUNTIF($D$2:$D$267,D48)</x:f>
        <x:v>13</x:v>
      </x:c>
      <x:c r="O48" t="n">
        <x:f>SUMIF($D$2:$D$267,D48,$J$2:$J$267)</x:f>
        <x:v>670.3176</x:v>
      </x:c>
      <x:c r="P48" t="n">
        <x:f>IF(OR(NOT(ISNUMBER(M48)),O48=0),"",M48*('Conference pools'!$H$2/N48+'Conference pools'!$H$3*J48/O48))</x:f>
        <x:v>0</x:v>
      </x:c>
      <x:c r="Q48" t="n">
        <x:f>IF(COUNTIFS($E$2:$E$267,E48,$X$2:$X$267,"&lt;&gt;")&lt;&gt;COUNTIF($E$2:$E$267,E48),"",SUMIF($E$2:$E$267,E48,$X$2:$X$267))</x:f>
        <x:v>0</x:v>
      </x:c>
      <x:c r="R48" t="n">
        <x:f>COUNTIF($E$2:$E$267,E48)</x:f>
        <x:v>12</x:v>
      </x:c>
      <x:c r="S48" t="n">
        <x:f>SUMIF($E$2:$E$267,E48,$J$2:$J$267)</x:f>
        <x:v>727.2049000000001</x:v>
      </x:c>
      <x:c r="T48" t="n">
        <x:f>IF(OR(NOT(ISNUMBER(Q48)),S48=0),"",Q48*('Conference pools'!$H$2/R48+'Conference pools'!$H$3*J48/S48))</x:f>
        <x:v>0</x:v>
      </x:c>
      <x:c r="U48" t="n">
        <x:f>IF(OR(NOT(ISNUMBER(P48)),NOT(ISNUMBER(T48))),"",T48-P48)</x:f>
        <x:v>0</x:v>
      </x:c>
      <x:c r="V48" s="8" t="str">
        <x:f>IF(OR(NOT(ISNUMBER(U48)),P48=0),"",U48/P48)</x:f>
      </x:c>
      <x:c r="W48" t="str">
        <x:f>IF(OR(NOT(ISNUMBER(T48)),NOT(ISNUMBER(K48))),"",T48-K48)</x:f>
      </x:c>
      <x:c r="X48" t="n">
        <x:f>IF(NOT(ISNUMBER(M48)),"",M48/N48)</x:f>
        <x:v>0</x:v>
      </x:c>
    </x:row>
    <x:row r="49">
      <x:c r="A49" t="str">
        <x:v>HOUSTON</x:v>
      </x:c>
      <x:c r="B49" t="str">
        <x:v>University of Houston</x:v>
      </x:c>
      <x:c r="C49" t="str">
        <x:v>FBS</x:v>
      </x:c>
      <x:c r="D49" t="str">
        <x:v>Big 12</x:v>
      </x:c>
      <x:c r="E49" t="str">
        <x:v>Premier Mountain</x:v>
      </x:c>
      <x:c r="F49" t="n">
        <x:v>4</x:v>
      </x:c>
      <x:c r="G49" t="n">
        <x:v>0.5171</x:v>
      </x:c>
      <x:c r="H49" t="n">
        <x:v>0.5191</x:v>
      </x:c>
      <x:c r="I49" t="n">
        <x:v>53.6385</x:v>
      </x:c>
      <x:c r="J49" t="n">
        <x:f>IF(ISNUMBER(I49),MAX(1,I49),1)</x:f>
        <x:v>53.6385</x:v>
      </x:c>
      <x:c r="K49"/>
      <x:c r="L49" t="str">
        <x:v>NOT VERIFIED</x:v>
      </x:c>
      <x:c r="M49" t="n">
        <x:f>IF(COUNTIFS('Conference pools'!$A$2:$A$25,D49,'Conference pools'!$D$2:$D$25,"&gt;=0")=0,"",SUMIF('Conference pools'!$A$2:$A$25,D49,'Conference pools'!$D$2:$D$25))</x:f>
        <x:v>0</x:v>
      </x:c>
      <x:c r="N49" t="n">
        <x:f>COUNTIF($D$2:$D$267,D49)</x:f>
        <x:v>16</x:v>
      </x:c>
      <x:c r="O49" t="n">
        <x:f>SUMIF($D$2:$D$267,D49,$J$2:$J$267)</x:f>
        <x:v>905.6582</x:v>
      </x:c>
      <x:c r="P49" t="n">
        <x:f>IF(OR(NOT(ISNUMBER(M49)),O49=0),"",M49*('Conference pools'!$H$2/N49+'Conference pools'!$H$3*J49/O49))</x:f>
        <x:v>0</x:v>
      </x:c>
      <x:c r="Q49" t="n">
        <x:f>IF(COUNTIFS($E$2:$E$267,E49,$X$2:$X$267,"&lt;&gt;")&lt;&gt;COUNTIF($E$2:$E$267,E49),"",SUMIF($E$2:$E$267,E49,$X$2:$X$267))</x:f>
        <x:v>0</x:v>
      </x:c>
      <x:c r="R49" t="n">
        <x:f>COUNTIF($E$2:$E$267,E49)</x:f>
        <x:v>12</x:v>
      </x:c>
      <x:c r="S49" t="n">
        <x:f>SUMIF($E$2:$E$267,E49,$J$2:$J$267)</x:f>
        <x:v>727.2049000000001</x:v>
      </x:c>
      <x:c r="T49" t="n">
        <x:f>IF(OR(NOT(ISNUMBER(Q49)),S49=0),"",Q49*('Conference pools'!$H$2/R49+'Conference pools'!$H$3*J49/S49))</x:f>
        <x:v>0</x:v>
      </x:c>
      <x:c r="U49" t="n">
        <x:f>IF(OR(NOT(ISNUMBER(P49)),NOT(ISNUMBER(T49))),"",T49-P49)</x:f>
        <x:v>0</x:v>
      </x:c>
      <x:c r="V49" s="8" t="str">
        <x:f>IF(OR(NOT(ISNUMBER(U49)),P49=0),"",U49/P49)</x:f>
      </x:c>
      <x:c r="W49" t="str">
        <x:f>IF(OR(NOT(ISNUMBER(T49)),NOT(ISNUMBER(K49))),"",T49-K49)</x:f>
      </x:c>
      <x:c r="X49" t="n">
        <x:f>IF(NOT(ISNUMBER(M49)),"",M49/N49)</x:f>
        <x:v>0</x:v>
      </x:c>
    </x:row>
    <x:row r="50">
      <x:c r="A50" t="str">
        <x:v>OREGON</x:v>
      </x:c>
      <x:c r="B50" t="str">
        <x:v>University of Oregon</x:v>
      </x:c>
      <x:c r="C50" t="str">
        <x:v>FBS</x:v>
      </x:c>
      <x:c r="D50" t="str">
        <x:v>Big Ten</x:v>
      </x:c>
      <x:c r="E50" t="str">
        <x:v>Premier Pacific</x:v>
      </x:c>
      <x:c r="F50" t="n">
        <x:v>1</x:v>
      </x:c>
      <x:c r="G50" t="n">
        <x:v>0.8851</x:v>
      </x:c>
      <x:c r="H50" t="n">
        <x:v>0.5902</x:v>
      </x:c>
      <x:c r="I50" t="n">
        <x:v>75.7416</x:v>
      </x:c>
      <x:c r="J50" t="n">
        <x:f>IF(ISNUMBER(I50),MAX(1,I50),1)</x:f>
        <x:v>75.7416</x:v>
      </x:c>
      <x:c r="K50"/>
      <x:c r="L50" t="str">
        <x:v>NOT VERIFIED</x:v>
      </x:c>
      <x:c r="M50" t="n">
        <x:f>IF(COUNTIFS('Conference pools'!$A$2:$A$25,D50,'Conference pools'!$D$2:$D$25,"&gt;=0")=0,"",SUMIF('Conference pools'!$A$2:$A$25,D50,'Conference pools'!$D$2:$D$25))</x:f>
        <x:v>0</x:v>
      </x:c>
      <x:c r="N50" t="n">
        <x:f>COUNTIF($D$2:$D$267,D50)</x:f>
        <x:v>18</x:v>
      </x:c>
      <x:c r="O50" t="n">
        <x:f>SUMIF($D$2:$D$267,D50,$J$2:$J$267)</x:f>
        <x:v>1068.7005</x:v>
      </x:c>
      <x:c r="P50" t="n">
        <x:f>IF(OR(NOT(ISNUMBER(M50)),O50=0),"",M50*('Conference pools'!$H$2/N50+'Conference pools'!$H$3*J50/O50))</x:f>
        <x:v>0</x:v>
      </x:c>
      <x:c r="Q50" t="n">
        <x:f>IF(COUNTIFS($E$2:$E$267,E50,$X$2:$X$267,"&lt;&gt;")&lt;&gt;COUNTIF($E$2:$E$267,E50),"",SUMIF($E$2:$E$267,E50,$X$2:$X$267))</x:f>
        <x:v>0</x:v>
      </x:c>
      <x:c r="R50" t="n">
        <x:f>COUNTIF($E$2:$E$267,E50)</x:f>
        <x:v>12</x:v>
      </x:c>
      <x:c r="S50" t="n">
        <x:f>SUMIF($E$2:$E$267,E50,$J$2:$J$267)</x:f>
        <x:v>728.2637</x:v>
      </x:c>
      <x:c r="T50" t="n">
        <x:f>IF(OR(NOT(ISNUMBER(Q50)),S50=0),"",Q50*('Conference pools'!$H$2/R50+'Conference pools'!$H$3*J50/S50))</x:f>
        <x:v>0</x:v>
      </x:c>
      <x:c r="U50" t="n">
        <x:f>IF(OR(NOT(ISNUMBER(P50)),NOT(ISNUMBER(T50))),"",T50-P50)</x:f>
        <x:v>0</x:v>
      </x:c>
      <x:c r="V50" s="8" t="str">
        <x:f>IF(OR(NOT(ISNUMBER(U50)),P50=0),"",U50/P50)</x:f>
      </x:c>
      <x:c r="W50" t="str">
        <x:f>IF(OR(NOT(ISNUMBER(T50)),NOT(ISNUMBER(K50))),"",T50-K50)</x:f>
      </x:c>
      <x:c r="X50" t="n">
        <x:f>IF(NOT(ISNUMBER(M50)),"",M50/N50)</x:f>
        <x:v>0</x:v>
      </x:c>
    </x:row>
    <x:row r="51">
      <x:c r="A51" t="str">
        <x:v>BYU</x:v>
      </x:c>
      <x:c r="B51" t="str">
        <x:v>Brigham Young University</x:v>
      </x:c>
      <x:c r="C51" t="str">
        <x:v>FBS</x:v>
      </x:c>
      <x:c r="D51" t="str">
        <x:v>Big 12</x:v>
      </x:c>
      <x:c r="E51" t="str">
        <x:v>Premier Pacific</x:v>
      </x:c>
      <x:c r="F51" t="n">
        <x:v>1</x:v>
      </x:c>
      <x:c r="G51" t="n">
        <x:v>0.7517</x:v>
      </x:c>
      <x:c r="H51" t="n">
        <x:v>0.5337</x:v>
      </x:c>
      <x:c r="I51" t="n">
        <x:v>64.5825</x:v>
      </x:c>
      <x:c r="J51" t="n">
        <x:f>IF(ISNUMBER(I51),MAX(1,I51),1)</x:f>
        <x:v>64.5825</x:v>
      </x:c>
      <x:c r="K51"/>
      <x:c r="L51" t="str">
        <x:v>NOT VERIFIED</x:v>
      </x:c>
      <x:c r="M51" t="n">
        <x:f>IF(COUNTIFS('Conference pools'!$A$2:$A$25,D51,'Conference pools'!$D$2:$D$25,"&gt;=0")=0,"",SUMIF('Conference pools'!$A$2:$A$25,D51,'Conference pools'!$D$2:$D$25))</x:f>
        <x:v>0</x:v>
      </x:c>
      <x:c r="N51" t="n">
        <x:f>COUNTIF($D$2:$D$267,D51)</x:f>
        <x:v>16</x:v>
      </x:c>
      <x:c r="O51" t="n">
        <x:f>SUMIF($D$2:$D$267,D51,$J$2:$J$267)</x:f>
        <x:v>905.6582</x:v>
      </x:c>
      <x:c r="P51" t="n">
        <x:f>IF(OR(NOT(ISNUMBER(M51)),O51=0),"",M51*('Conference pools'!$H$2/N51+'Conference pools'!$H$3*J51/O51))</x:f>
        <x:v>0</x:v>
      </x:c>
      <x:c r="Q51" t="n">
        <x:f>IF(COUNTIFS($E$2:$E$267,E51,$X$2:$X$267,"&lt;&gt;")&lt;&gt;COUNTIF($E$2:$E$267,E51),"",SUMIF($E$2:$E$267,E51,$X$2:$X$267))</x:f>
        <x:v>0</x:v>
      </x:c>
      <x:c r="R51" t="n">
        <x:f>COUNTIF($E$2:$E$267,E51)</x:f>
        <x:v>12</x:v>
      </x:c>
      <x:c r="S51" t="n">
        <x:f>SUMIF($E$2:$E$267,E51,$J$2:$J$267)</x:f>
        <x:v>728.2637</x:v>
      </x:c>
      <x:c r="T51" t="n">
        <x:f>IF(OR(NOT(ISNUMBER(Q51)),S51=0),"",Q51*('Conference pools'!$H$2/R51+'Conference pools'!$H$3*J51/S51))</x:f>
        <x:v>0</x:v>
      </x:c>
      <x:c r="U51" t="n">
        <x:f>IF(OR(NOT(ISNUMBER(P51)),NOT(ISNUMBER(T51))),"",T51-P51)</x:f>
        <x:v>0</x:v>
      </x:c>
      <x:c r="V51" s="8" t="str">
        <x:f>IF(OR(NOT(ISNUMBER(U51)),P51=0),"",U51/P51)</x:f>
      </x:c>
      <x:c r="W51" t="str">
        <x:f>IF(OR(NOT(ISNUMBER(T51)),NOT(ISNUMBER(K51))),"",T51-K51)</x:f>
      </x:c>
      <x:c r="X51" t="n">
        <x:f>IF(NOT(ISNUMBER(M51)),"",M51/N51)</x:f>
        <x:v>0</x:v>
      </x:c>
    </x:row>
    <x:row r="52">
      <x:c r="A52" t="str">
        <x:v>BOISE_STATE</x:v>
      </x:c>
      <x:c r="B52" t="str">
        <x:v>Boise State University</x:v>
      </x:c>
      <x:c r="C52" t="str">
        <x:v>FBS</x:v>
      </x:c>
      <x:c r="D52" t="str">
        <x:v>Pac-12</x:v>
      </x:c>
      <x:c r="E52" t="str">
        <x:v>Premier Pacific</x:v>
      </x:c>
      <x:c r="F52" t="n">
        <x:v>1</x:v>
      </x:c>
      <x:c r="G52" t="n">
        <x:v>0.6987</x:v>
      </x:c>
      <x:c r="H52" t="n">
        <x:v>0.5484</x:v>
      </x:c>
      <x:c r="I52" t="n">
        <x:v>64.9794</x:v>
      </x:c>
      <x:c r="J52" t="n">
        <x:f>IF(ISNUMBER(I52),MAX(1,I52),1)</x:f>
        <x:v>64.9794</x:v>
      </x:c>
      <x:c r="K52"/>
      <x:c r="L52" t="str">
        <x:v>NOT VERIFIED</x:v>
      </x:c>
      <x:c r="M52" t="n">
        <x:f>IF(COUNTIFS('Conference pools'!$A$2:$A$25,D52,'Conference pools'!$D$2:$D$25,"&gt;=0")=0,"",SUMIF('Conference pools'!$A$2:$A$25,D52,'Conference pools'!$D$2:$D$25))</x:f>
        <x:v>0</x:v>
      </x:c>
      <x:c r="N52" t="n">
        <x:f>COUNTIF($D$2:$D$267,D52)</x:f>
        <x:v>8</x:v>
      </x:c>
      <x:c r="O52" t="n">
        <x:f>SUMIF($D$2:$D$267,D52,$J$2:$J$267)</x:f>
        <x:v>423.8017</x:v>
      </x:c>
      <x:c r="P52" t="n">
        <x:f>IF(OR(NOT(ISNUMBER(M52)),O52=0),"",M52*('Conference pools'!$H$2/N52+'Conference pools'!$H$3*J52/O52))</x:f>
        <x:v>0</x:v>
      </x:c>
      <x:c r="Q52" t="n">
        <x:f>IF(COUNTIFS($E$2:$E$267,E52,$X$2:$X$267,"&lt;&gt;")&lt;&gt;COUNTIF($E$2:$E$267,E52),"",SUMIF($E$2:$E$267,E52,$X$2:$X$267))</x:f>
        <x:v>0</x:v>
      </x:c>
      <x:c r="R52" t="n">
        <x:f>COUNTIF($E$2:$E$267,E52)</x:f>
        <x:v>12</x:v>
      </x:c>
      <x:c r="S52" t="n">
        <x:f>SUMIF($E$2:$E$267,E52,$J$2:$J$267)</x:f>
        <x:v>728.2637</x:v>
      </x:c>
      <x:c r="T52" t="n">
        <x:f>IF(OR(NOT(ISNUMBER(Q52)),S52=0),"",Q52*('Conference pools'!$H$2/R52+'Conference pools'!$H$3*J52/S52))</x:f>
        <x:v>0</x:v>
      </x:c>
      <x:c r="U52" t="n">
        <x:f>IF(OR(NOT(ISNUMBER(P52)),NOT(ISNUMBER(T52))),"",T52-P52)</x:f>
        <x:v>0</x:v>
      </x:c>
      <x:c r="V52" s="8" t="str">
        <x:f>IF(OR(NOT(ISNUMBER(U52)),P52=0),"",U52/P52)</x:f>
      </x:c>
      <x:c r="W52" t="str">
        <x:f>IF(OR(NOT(ISNUMBER(T52)),NOT(ISNUMBER(K52))),"",T52-K52)</x:f>
      </x:c>
      <x:c r="X52" t="n">
        <x:f>IF(NOT(ISNUMBER(M52)),"",M52/N52)</x:f>
        <x:v>0</x:v>
      </x:c>
    </x:row>
    <x:row r="53">
      <x:c r="A53" t="str">
        <x:v>WASHINGTON</x:v>
      </x:c>
      <x:c r="B53" t="str">
        <x:v>University of Washington</x:v>
      </x:c>
      <x:c r="C53" t="str">
        <x:v>FBS</x:v>
      </x:c>
      <x:c r="D53" t="str">
        <x:v>Big Ten</x:v>
      </x:c>
      <x:c r="E53" t="str">
        <x:v>Premier Pacific</x:v>
      </x:c>
      <x:c r="F53" t="n">
        <x:v>1</x:v>
      </x:c>
      <x:c r="G53" t="n">
        <x:v>0.6834</x:v>
      </x:c>
      <x:c r="H53" t="n">
        <x:v>0.5595</x:v>
      </x:c>
      <x:c r="I53" t="n">
        <x:v>64.9686</x:v>
      </x:c>
      <x:c r="J53" t="n">
        <x:f>IF(ISNUMBER(I53),MAX(1,I53),1)</x:f>
        <x:v>64.9686</x:v>
      </x:c>
      <x:c r="K53"/>
      <x:c r="L53" t="str">
        <x:v>NOT VERIFIED</x:v>
      </x:c>
      <x:c r="M53" t="n">
        <x:f>IF(COUNTIFS('Conference pools'!$A$2:$A$25,D53,'Conference pools'!$D$2:$D$25,"&gt;=0")=0,"",SUMIF('Conference pools'!$A$2:$A$25,D53,'Conference pools'!$D$2:$D$25))</x:f>
        <x:v>0</x:v>
      </x:c>
      <x:c r="N53" t="n">
        <x:f>COUNTIF($D$2:$D$267,D53)</x:f>
        <x:v>18</x:v>
      </x:c>
      <x:c r="O53" t="n">
        <x:f>SUMIF($D$2:$D$267,D53,$J$2:$J$267)</x:f>
        <x:v>1068.7005</x:v>
      </x:c>
      <x:c r="P53" t="n">
        <x:f>IF(OR(NOT(ISNUMBER(M53)),O53=0),"",M53*('Conference pools'!$H$2/N53+'Conference pools'!$H$3*J53/O53))</x:f>
        <x:v>0</x:v>
      </x:c>
      <x:c r="Q53" t="n">
        <x:f>IF(COUNTIFS($E$2:$E$267,E53,$X$2:$X$267,"&lt;&gt;")&lt;&gt;COUNTIF($E$2:$E$267,E53),"",SUMIF($E$2:$E$267,E53,$X$2:$X$267))</x:f>
        <x:v>0</x:v>
      </x:c>
      <x:c r="R53" t="n">
        <x:f>COUNTIF($E$2:$E$267,E53)</x:f>
        <x:v>12</x:v>
      </x:c>
      <x:c r="S53" t="n">
        <x:f>SUMIF($E$2:$E$267,E53,$J$2:$J$267)</x:f>
        <x:v>728.2637</x:v>
      </x:c>
      <x:c r="T53" t="n">
        <x:f>IF(OR(NOT(ISNUMBER(Q53)),S53=0),"",Q53*('Conference pools'!$H$2/R53+'Conference pools'!$H$3*J53/S53))</x:f>
        <x:v>0</x:v>
      </x:c>
      <x:c r="U53" t="n">
        <x:f>IF(OR(NOT(ISNUMBER(P53)),NOT(ISNUMBER(T53))),"",T53-P53)</x:f>
        <x:v>0</x:v>
      </x:c>
      <x:c r="V53" s="8" t="str">
        <x:f>IF(OR(NOT(ISNUMBER(U53)),P53=0),"",U53/P53)</x:f>
      </x:c>
      <x:c r="W53" t="str">
        <x:f>IF(OR(NOT(ISNUMBER(T53)),NOT(ISNUMBER(K53))),"",T53-K53)</x:f>
      </x:c>
      <x:c r="X53" t="n">
        <x:f>IF(NOT(ISNUMBER(M53)),"",M53/N53)</x:f>
        <x:v>0</x:v>
      </x:c>
    </x:row>
    <x:row r="54">
      <x:c r="A54" t="str">
        <x:v>UNLV</x:v>
      </x:c>
      <x:c r="B54" t="str">
        <x:v>University of Nevada Las Vegas</x:v>
      </x:c>
      <x:c r="C54" t="str">
        <x:v>FBS</x:v>
      </x:c>
      <x:c r="D54" t="str">
        <x:v>Mountain West</x:v>
      </x:c>
      <x:c r="E54" t="str">
        <x:v>Premier Pacific</x:v>
      </x:c>
      <x:c r="F54" t="n">
        <x:v>2</x:v>
      </x:c>
      <x:c r="G54" t="n">
        <x:v>0.7209</x:v>
      </x:c>
      <x:c r="H54" t="n">
        <x:v>0.469</x:v>
      </x:c>
      <x:c r="I54" t="n">
        <x:v>58.9061</x:v>
      </x:c>
      <x:c r="J54" t="n">
        <x:f>IF(ISNUMBER(I54),MAX(1,I54),1)</x:f>
        <x:v>58.9061</x:v>
      </x:c>
      <x:c r="K54"/>
      <x:c r="L54" t="str">
        <x:v>NOT VERIFIED</x:v>
      </x:c>
      <x:c r="M54" t="n">
        <x:f>IF(COUNTIFS('Conference pools'!$A$2:$A$25,D54,'Conference pools'!$D$2:$D$25,"&gt;=0")=0,"",SUMIF('Conference pools'!$A$2:$A$25,D54,'Conference pools'!$D$2:$D$25))</x:f>
        <x:v>0</x:v>
      </x:c>
      <x:c r="N54" t="n">
        <x:f>COUNTIF($D$2:$D$267,D54)</x:f>
        <x:v>10</x:v>
      </x:c>
      <x:c r="O54" t="n">
        <x:f>SUMIF($D$2:$D$267,D54,$J$2:$J$267)</x:f>
        <x:v>494.2351</x:v>
      </x:c>
      <x:c r="P54" t="n">
        <x:f>IF(OR(NOT(ISNUMBER(M54)),O54=0),"",M54*('Conference pools'!$H$2/N54+'Conference pools'!$H$3*J54/O54))</x:f>
        <x:v>0</x:v>
      </x:c>
      <x:c r="Q54" t="n">
        <x:f>IF(COUNTIFS($E$2:$E$267,E54,$X$2:$X$267,"&lt;&gt;")&lt;&gt;COUNTIF($E$2:$E$267,E54),"",SUMIF($E$2:$E$267,E54,$X$2:$X$267))</x:f>
        <x:v>0</x:v>
      </x:c>
      <x:c r="R54" t="n">
        <x:f>COUNTIF($E$2:$E$267,E54)</x:f>
        <x:v>12</x:v>
      </x:c>
      <x:c r="S54" t="n">
        <x:f>SUMIF($E$2:$E$267,E54,$J$2:$J$267)</x:f>
        <x:v>728.2637</x:v>
      </x:c>
      <x:c r="T54" t="n">
        <x:f>IF(OR(NOT(ISNUMBER(Q54)),S54=0),"",Q54*('Conference pools'!$H$2/R54+'Conference pools'!$H$3*J54/S54))</x:f>
        <x:v>0</x:v>
      </x:c>
      <x:c r="U54" t="n">
        <x:f>IF(OR(NOT(ISNUMBER(P54)),NOT(ISNUMBER(T54))),"",T54-P54)</x:f>
        <x:v>0</x:v>
      </x:c>
      <x:c r="V54" s="8" t="str">
        <x:f>IF(OR(NOT(ISNUMBER(U54)),P54=0),"",U54/P54)</x:f>
      </x:c>
      <x:c r="W54" t="str">
        <x:f>IF(OR(NOT(ISNUMBER(T54)),NOT(ISNUMBER(K54))),"",T54-K54)</x:f>
      </x:c>
      <x:c r="X54" t="n">
        <x:f>IF(NOT(ISNUMBER(M54)),"",M54/N54)</x:f>
        <x:v>0</x:v>
      </x:c>
    </x:row>
    <x:row r="55">
      <x:c r="A55" t="str">
        <x:v>UTAH</x:v>
      </x:c>
      <x:c r="B55" t="str">
        <x:v>University of Utah</x:v>
      </x:c>
      <x:c r="C55" t="str">
        <x:v>FBS</x:v>
      </x:c>
      <x:c r="D55" t="str">
        <x:v>Big 12</x:v>
      </x:c>
      <x:c r="E55" t="str">
        <x:v>Premier Pacific</x:v>
      </x:c>
      <x:c r="F55" t="n">
        <x:v>2</x:v>
      </x:c>
      <x:c r="G55" t="n">
        <x:v>0.6458</x:v>
      </x:c>
      <x:c r="H55" t="n">
        <x:v>0.5232</x:v>
      </x:c>
      <x:c r="I55" t="n">
        <x:v>63.2036</x:v>
      </x:c>
      <x:c r="J55" t="n">
        <x:f>IF(ISNUMBER(I55),MAX(1,I55),1)</x:f>
        <x:v>63.2036</x:v>
      </x:c>
      <x:c r="K55"/>
      <x:c r="L55" t="str">
        <x:v>NOT VERIFIED</x:v>
      </x:c>
      <x:c r="M55" t="n">
        <x:f>IF(COUNTIFS('Conference pools'!$A$2:$A$25,D55,'Conference pools'!$D$2:$D$25,"&gt;=0")=0,"",SUMIF('Conference pools'!$A$2:$A$25,D55,'Conference pools'!$D$2:$D$25))</x:f>
        <x:v>0</x:v>
      </x:c>
      <x:c r="N55" t="n">
        <x:f>COUNTIF($D$2:$D$267,D55)</x:f>
        <x:v>16</x:v>
      </x:c>
      <x:c r="O55" t="n">
        <x:f>SUMIF($D$2:$D$267,D55,$J$2:$J$267)</x:f>
        <x:v>905.6582</x:v>
      </x:c>
      <x:c r="P55" t="n">
        <x:f>IF(OR(NOT(ISNUMBER(M55)),O55=0),"",M55*('Conference pools'!$H$2/N55+'Conference pools'!$H$3*J55/O55))</x:f>
        <x:v>0</x:v>
      </x:c>
      <x:c r="Q55" t="n">
        <x:f>IF(COUNTIFS($E$2:$E$267,E55,$X$2:$X$267,"&lt;&gt;")&lt;&gt;COUNTIF($E$2:$E$267,E55),"",SUMIF($E$2:$E$267,E55,$X$2:$X$267))</x:f>
        <x:v>0</x:v>
      </x:c>
      <x:c r="R55" t="n">
        <x:f>COUNTIF($E$2:$E$267,E55)</x:f>
        <x:v>12</x:v>
      </x:c>
      <x:c r="S55" t="n">
        <x:f>SUMIF($E$2:$E$267,E55,$J$2:$J$267)</x:f>
        <x:v>728.2637</x:v>
      </x:c>
      <x:c r="T55" t="n">
        <x:f>IF(OR(NOT(ISNUMBER(Q55)),S55=0),"",Q55*('Conference pools'!$H$2/R55+'Conference pools'!$H$3*J55/S55))</x:f>
        <x:v>0</x:v>
      </x:c>
      <x:c r="U55" t="n">
        <x:f>IF(OR(NOT(ISNUMBER(P55)),NOT(ISNUMBER(T55))),"",T55-P55)</x:f>
        <x:v>0</x:v>
      </x:c>
      <x:c r="V55" s="8" t="str">
        <x:f>IF(OR(NOT(ISNUMBER(U55)),P55=0),"",U55/P55)</x:f>
      </x:c>
      <x:c r="W55" t="str">
        <x:f>IF(OR(NOT(ISNUMBER(T55)),NOT(ISNUMBER(K55))),"",T55-K55)</x:f>
      </x:c>
      <x:c r="X55" t="n">
        <x:f>IF(NOT(ISNUMBER(M55)),"",M55/N55)</x:f>
        <x:v>0</x:v>
      </x:c>
    </x:row>
    <x:row r="56">
      <x:c r="A56" t="str">
        <x:v>USC</x:v>
      </x:c>
      <x:c r="B56" t="str">
        <x:v>University of Southern California</x:v>
      </x:c>
      <x:c r="C56" t="str">
        <x:v>FBS</x:v>
      </x:c>
      <x:c r="D56" t="str">
        <x:v>Big Ten</x:v>
      </x:c>
      <x:c r="E56" t="str">
        <x:v>Premier Pacific</x:v>
      </x:c>
      <x:c r="F56" t="n">
        <x:v>2</x:v>
      </x:c>
      <x:c r="G56" t="n">
        <x:v>0.6198</x:v>
      </x:c>
      <x:c r="H56" t="n">
        <x:v>0.5624</x:v>
      </x:c>
      <x:c r="I56" t="n">
        <x:v>62.3916</x:v>
      </x:c>
      <x:c r="J56" t="n">
        <x:f>IF(ISNUMBER(I56),MAX(1,I56),1)</x:f>
        <x:v>62.3916</x:v>
      </x:c>
      <x:c r="K56"/>
      <x:c r="L56" t="str">
        <x:v>NOT VERIFIED</x:v>
      </x:c>
      <x:c r="M56" t="n">
        <x:f>IF(COUNTIFS('Conference pools'!$A$2:$A$25,D56,'Conference pools'!$D$2:$D$25,"&gt;=0")=0,"",SUMIF('Conference pools'!$A$2:$A$25,D56,'Conference pools'!$D$2:$D$25))</x:f>
        <x:v>0</x:v>
      </x:c>
      <x:c r="N56" t="n">
        <x:f>COUNTIF($D$2:$D$267,D56)</x:f>
        <x:v>18</x:v>
      </x:c>
      <x:c r="O56" t="n">
        <x:f>SUMIF($D$2:$D$267,D56,$J$2:$J$267)</x:f>
        <x:v>1068.7005</x:v>
      </x:c>
      <x:c r="P56" t="n">
        <x:f>IF(OR(NOT(ISNUMBER(M56)),O56=0),"",M56*('Conference pools'!$H$2/N56+'Conference pools'!$H$3*J56/O56))</x:f>
        <x:v>0</x:v>
      </x:c>
      <x:c r="Q56" t="n">
        <x:f>IF(COUNTIFS($E$2:$E$267,E56,$X$2:$X$267,"&lt;&gt;")&lt;&gt;COUNTIF($E$2:$E$267,E56),"",SUMIF($E$2:$E$267,E56,$X$2:$X$267))</x:f>
        <x:v>0</x:v>
      </x:c>
      <x:c r="R56" t="n">
        <x:f>COUNTIF($E$2:$E$267,E56)</x:f>
        <x:v>12</x:v>
      </x:c>
      <x:c r="S56" t="n">
        <x:f>SUMIF($E$2:$E$267,E56,$J$2:$J$267)</x:f>
        <x:v>728.2637</x:v>
      </x:c>
      <x:c r="T56" t="n">
        <x:f>IF(OR(NOT(ISNUMBER(Q56)),S56=0),"",Q56*('Conference pools'!$H$2/R56+'Conference pools'!$H$3*J56/S56))</x:f>
        <x:v>0</x:v>
      </x:c>
      <x:c r="U56" t="n">
        <x:f>IF(OR(NOT(ISNUMBER(P56)),NOT(ISNUMBER(T56))),"",T56-P56)</x:f>
        <x:v>0</x:v>
      </x:c>
      <x:c r="V56" s="8" t="str">
        <x:f>IF(OR(NOT(ISNUMBER(U56)),P56=0),"",U56/P56)</x:f>
      </x:c>
      <x:c r="W56" t="str">
        <x:f>IF(OR(NOT(ISNUMBER(T56)),NOT(ISNUMBER(K56))),"",T56-K56)</x:f>
      </x:c>
      <x:c r="X56" t="n">
        <x:f>IF(NOT(ISNUMBER(M56)),"",M56/N56)</x:f>
        <x:v>0</x:v>
      </x:c>
    </x:row>
    <x:row r="57">
      <x:c r="A57" t="str">
        <x:v>FRESNO_STATE</x:v>
      </x:c>
      <x:c r="B57" t="str">
        <x:v>California State University Fresno</x:v>
      </x:c>
      <x:c r="C57" t="str">
        <x:v>FBS</x:v>
      </x:c>
      <x:c r="D57" t="str">
        <x:v>Pac-12</x:v>
      </x:c>
      <x:c r="E57" t="str">
        <x:v>Premier Pacific</x:v>
      </x:c>
      <x:c r="F57" t="n">
        <x:v>3</x:v>
      </x:c>
      <x:c r="G57" t="n">
        <x:v>0.6127</x:v>
      </x:c>
      <x:c r="H57" t="n">
        <x:v>0.4331</x:v>
      </x:c>
      <x:c r="I57" t="n">
        <x:v>55.9422</x:v>
      </x:c>
      <x:c r="J57" t="n">
        <x:f>IF(ISNUMBER(I57),MAX(1,I57),1)</x:f>
        <x:v>55.9422</x:v>
      </x:c>
      <x:c r="K57"/>
      <x:c r="L57" t="str">
        <x:v>NOT VERIFIED</x:v>
      </x:c>
      <x:c r="M57" t="n">
        <x:f>IF(COUNTIFS('Conference pools'!$A$2:$A$25,D57,'Conference pools'!$D$2:$D$25,"&gt;=0")=0,"",SUMIF('Conference pools'!$A$2:$A$25,D57,'Conference pools'!$D$2:$D$25))</x:f>
        <x:v>0</x:v>
      </x:c>
      <x:c r="N57" t="n">
        <x:f>COUNTIF($D$2:$D$267,D57)</x:f>
        <x:v>8</x:v>
      </x:c>
      <x:c r="O57" t="n">
        <x:f>SUMIF($D$2:$D$267,D57,$J$2:$J$267)</x:f>
        <x:v>423.8017</x:v>
      </x:c>
      <x:c r="P57" t="n">
        <x:f>IF(OR(NOT(ISNUMBER(M57)),O57=0),"",M57*('Conference pools'!$H$2/N57+'Conference pools'!$H$3*J57/O57))</x:f>
        <x:v>0</x:v>
      </x:c>
      <x:c r="Q57" t="n">
        <x:f>IF(COUNTIFS($E$2:$E$267,E57,$X$2:$X$267,"&lt;&gt;")&lt;&gt;COUNTIF($E$2:$E$267,E57),"",SUMIF($E$2:$E$267,E57,$X$2:$X$267))</x:f>
        <x:v>0</x:v>
      </x:c>
      <x:c r="R57" t="n">
        <x:f>COUNTIF($E$2:$E$267,E57)</x:f>
        <x:v>12</x:v>
      </x:c>
      <x:c r="S57" t="n">
        <x:f>SUMIF($E$2:$E$267,E57,$J$2:$J$267)</x:f>
        <x:v>728.2637</x:v>
      </x:c>
      <x:c r="T57" t="n">
        <x:f>IF(OR(NOT(ISNUMBER(Q57)),S57=0),"",Q57*('Conference pools'!$H$2/R57+'Conference pools'!$H$3*J57/S57))</x:f>
        <x:v>0</x:v>
      </x:c>
      <x:c r="U57" t="n">
        <x:f>IF(OR(NOT(ISNUMBER(P57)),NOT(ISNUMBER(T57))),"",T57-P57)</x:f>
        <x:v>0</x:v>
      </x:c>
      <x:c r="V57" s="8" t="str">
        <x:f>IF(OR(NOT(ISNUMBER(U57)),P57=0),"",U57/P57)</x:f>
      </x:c>
      <x:c r="W57" t="str">
        <x:f>IF(OR(NOT(ISNUMBER(T57)),NOT(ISNUMBER(K57))),"",T57-K57)</x:f>
      </x:c>
      <x:c r="X57" t="n">
        <x:f>IF(NOT(ISNUMBER(M57)),"",M57/N57)</x:f>
        <x:v>0</x:v>
      </x:c>
    </x:row>
    <x:row r="58">
      <x:c r="A58" t="str">
        <x:v>ARIZONA</x:v>
      </x:c>
      <x:c r="B58" t="str">
        <x:v>University of Arizona</x:v>
      </x:c>
      <x:c r="C58" t="str">
        <x:v>FBS</x:v>
      </x:c>
      <x:c r="D58" t="str">
        <x:v>Big 12</x:v>
      </x:c>
      <x:c r="E58" t="str">
        <x:v>Premier Pacific</x:v>
      </x:c>
      <x:c r="F58" t="n">
        <x:v>3</x:v>
      </x:c>
      <x:c r="G58" t="n">
        <x:v>0.5949</x:v>
      </x:c>
      <x:c r="H58" t="n">
        <x:v>0.5358</x:v>
      </x:c>
      <x:c r="I58" t="n">
        <x:v>56.8952</x:v>
      </x:c>
      <x:c r="J58" t="n">
        <x:f>IF(ISNUMBER(I58),MAX(1,I58),1)</x:f>
        <x:v>56.8952</x:v>
      </x:c>
      <x:c r="K58"/>
      <x:c r="L58" t="str">
        <x:v>NOT VERIFIED</x:v>
      </x:c>
      <x:c r="M58" t="n">
        <x:f>IF(COUNTIFS('Conference pools'!$A$2:$A$25,D58,'Conference pools'!$D$2:$D$25,"&gt;=0")=0,"",SUMIF('Conference pools'!$A$2:$A$25,D58,'Conference pools'!$D$2:$D$25))</x:f>
        <x:v>0</x:v>
      </x:c>
      <x:c r="N58" t="n">
        <x:f>COUNTIF($D$2:$D$267,D58)</x:f>
        <x:v>16</x:v>
      </x:c>
      <x:c r="O58" t="n">
        <x:f>SUMIF($D$2:$D$267,D58,$J$2:$J$267)</x:f>
        <x:v>905.6582</x:v>
      </x:c>
      <x:c r="P58" t="n">
        <x:f>IF(OR(NOT(ISNUMBER(M58)),O58=0),"",M58*('Conference pools'!$H$2/N58+'Conference pools'!$H$3*J58/O58))</x:f>
        <x:v>0</x:v>
      </x:c>
      <x:c r="Q58" t="n">
        <x:f>IF(COUNTIFS($E$2:$E$267,E58,$X$2:$X$267,"&lt;&gt;")&lt;&gt;COUNTIF($E$2:$E$267,E58),"",SUMIF($E$2:$E$267,E58,$X$2:$X$267))</x:f>
        <x:v>0</x:v>
      </x:c>
      <x:c r="R58" t="n">
        <x:f>COUNTIF($E$2:$E$267,E58)</x:f>
        <x:v>12</x:v>
      </x:c>
      <x:c r="S58" t="n">
        <x:f>SUMIF($E$2:$E$267,E58,$J$2:$J$267)</x:f>
        <x:v>728.2637</x:v>
      </x:c>
      <x:c r="T58" t="n">
        <x:f>IF(OR(NOT(ISNUMBER(Q58)),S58=0),"",Q58*('Conference pools'!$H$2/R58+'Conference pools'!$H$3*J58/S58))</x:f>
        <x:v>0</x:v>
      </x:c>
      <x:c r="U58" t="n">
        <x:f>IF(OR(NOT(ISNUMBER(P58)),NOT(ISNUMBER(T58))),"",T58-P58)</x:f>
        <x:v>0</x:v>
      </x:c>
      <x:c r="V58" s="8" t="str">
        <x:f>IF(OR(NOT(ISNUMBER(U58)),P58=0),"",U58/P58)</x:f>
      </x:c>
      <x:c r="W58" t="str">
        <x:f>IF(OR(NOT(ISNUMBER(T58)),NOT(ISNUMBER(K58))),"",T58-K58)</x:f>
      </x:c>
      <x:c r="X58" t="n">
        <x:f>IF(NOT(ISNUMBER(M58)),"",M58/N58)</x:f>
        <x:v>0</x:v>
      </x:c>
    </x:row>
    <x:row r="59">
      <x:c r="A59" t="str">
        <x:v>ARIZONA_STATE</x:v>
      </x:c>
      <x:c r="B59" t="str">
        <x:v>Arizona State University</x:v>
      </x:c>
      <x:c r="C59" t="str">
        <x:v>FBS</x:v>
      </x:c>
      <x:c r="D59" t="str">
        <x:v>Big 12</x:v>
      </x:c>
      <x:c r="E59" t="str">
        <x:v>Premier Pacific</x:v>
      </x:c>
      <x:c r="F59" t="n">
        <x:v>2</x:v>
      </x:c>
      <x:c r="G59" t="n">
        <x:v>0.5935</x:v>
      </x:c>
      <x:c r="H59" t="n">
        <x:v>0.5651</x:v>
      </x:c>
      <x:c r="I59" t="n">
        <x:v>57.3491</x:v>
      </x:c>
      <x:c r="J59" t="n">
        <x:f>IF(ISNUMBER(I59),MAX(1,I59),1)</x:f>
        <x:v>57.3491</x:v>
      </x:c>
      <x:c r="K59"/>
      <x:c r="L59" t="str">
        <x:v>NOT VERIFIED</x:v>
      </x:c>
      <x:c r="M59" t="n">
        <x:f>IF(COUNTIFS('Conference pools'!$A$2:$A$25,D59,'Conference pools'!$D$2:$D$25,"&gt;=0")=0,"",SUMIF('Conference pools'!$A$2:$A$25,D59,'Conference pools'!$D$2:$D$25))</x:f>
        <x:v>0</x:v>
      </x:c>
      <x:c r="N59" t="n">
        <x:f>COUNTIF($D$2:$D$267,D59)</x:f>
        <x:v>16</x:v>
      </x:c>
      <x:c r="O59" t="n">
        <x:f>SUMIF($D$2:$D$267,D59,$J$2:$J$267)</x:f>
        <x:v>905.6582</x:v>
      </x:c>
      <x:c r="P59" t="n">
        <x:f>IF(OR(NOT(ISNUMBER(M59)),O59=0),"",M59*('Conference pools'!$H$2/N59+'Conference pools'!$H$3*J59/O59))</x:f>
        <x:v>0</x:v>
      </x:c>
      <x:c r="Q59" t="n">
        <x:f>IF(COUNTIFS($E$2:$E$267,E59,$X$2:$X$267,"&lt;&gt;")&lt;&gt;COUNTIF($E$2:$E$267,E59),"",SUMIF($E$2:$E$267,E59,$X$2:$X$267))</x:f>
        <x:v>0</x:v>
      </x:c>
      <x:c r="R59" t="n">
        <x:f>COUNTIF($E$2:$E$267,E59)</x:f>
        <x:v>12</x:v>
      </x:c>
      <x:c r="S59" t="n">
        <x:f>SUMIF($E$2:$E$267,E59,$J$2:$J$267)</x:f>
        <x:v>728.2637</x:v>
      </x:c>
      <x:c r="T59" t="n">
        <x:f>IF(OR(NOT(ISNUMBER(Q59)),S59=0),"",Q59*('Conference pools'!$H$2/R59+'Conference pools'!$H$3*J59/S59))</x:f>
        <x:v>0</x:v>
      </x:c>
      <x:c r="U59" t="n">
        <x:f>IF(OR(NOT(ISNUMBER(P59)),NOT(ISNUMBER(T59))),"",T59-P59)</x:f>
        <x:v>0</x:v>
      </x:c>
      <x:c r="V59" s="8" t="str">
        <x:f>IF(OR(NOT(ISNUMBER(U59)),P59=0),"",U59/P59)</x:f>
      </x:c>
      <x:c r="W59" t="str">
        <x:f>IF(OR(NOT(ISNUMBER(T59)),NOT(ISNUMBER(K59))),"",T59-K59)</x:f>
      </x:c>
      <x:c r="X59" t="n">
        <x:f>IF(NOT(ISNUMBER(M59)),"",M59/N59)</x:f>
        <x:v>0</x:v>
      </x:c>
    </x:row>
    <x:row r="60">
      <x:c r="A60" t="str">
        <x:v>WASHINGTON_STATE</x:v>
      </x:c>
      <x:c r="B60" t="str">
        <x:v>Washington State University</x:v>
      </x:c>
      <x:c r="C60" t="str">
        <x:v>FBS</x:v>
      </x:c>
      <x:c r="D60" t="str">
        <x:v>Pac-12</x:v>
      </x:c>
      <x:c r="E60" t="str">
        <x:v>Premier Pacific</x:v>
      </x:c>
      <x:c r="F60" t="n">
        <x:v>3</x:v>
      </x:c>
      <x:c r="G60" t="n">
        <x:v>0.5365</x:v>
      </x:c>
      <x:c r="H60" t="n">
        <x:v>0.5134</x:v>
      </x:c>
      <x:c r="I60" t="n">
        <x:v>56.0683</x:v>
      </x:c>
      <x:c r="J60" t="n">
        <x:f>IF(ISNUMBER(I60),MAX(1,I60),1)</x:f>
        <x:v>56.0683</x:v>
      </x:c>
      <x:c r="K60"/>
      <x:c r="L60" t="str">
        <x:v>NOT VERIFIED</x:v>
      </x:c>
      <x:c r="M60" t="n">
        <x:f>IF(COUNTIFS('Conference pools'!$A$2:$A$25,D60,'Conference pools'!$D$2:$D$25,"&gt;=0")=0,"",SUMIF('Conference pools'!$A$2:$A$25,D60,'Conference pools'!$D$2:$D$25))</x:f>
        <x:v>0</x:v>
      </x:c>
      <x:c r="N60" t="n">
        <x:f>COUNTIF($D$2:$D$267,D60)</x:f>
        <x:v>8</x:v>
      </x:c>
      <x:c r="O60" t="n">
        <x:f>SUMIF($D$2:$D$267,D60,$J$2:$J$267)</x:f>
        <x:v>423.8017</x:v>
      </x:c>
      <x:c r="P60" t="n">
        <x:f>IF(OR(NOT(ISNUMBER(M60)),O60=0),"",M60*('Conference pools'!$H$2/N60+'Conference pools'!$H$3*J60/O60))</x:f>
        <x:v>0</x:v>
      </x:c>
      <x:c r="Q60" t="n">
        <x:f>IF(COUNTIFS($E$2:$E$267,E60,$X$2:$X$267,"&lt;&gt;")&lt;&gt;COUNTIF($E$2:$E$267,E60),"",SUMIF($E$2:$E$267,E60,$X$2:$X$267))</x:f>
        <x:v>0</x:v>
      </x:c>
      <x:c r="R60" t="n">
        <x:f>COUNTIF($E$2:$E$267,E60)</x:f>
        <x:v>12</x:v>
      </x:c>
      <x:c r="S60" t="n">
        <x:f>SUMIF($E$2:$E$267,E60,$J$2:$J$267)</x:f>
        <x:v>728.2637</x:v>
      </x:c>
      <x:c r="T60" t="n">
        <x:f>IF(OR(NOT(ISNUMBER(Q60)),S60=0),"",Q60*('Conference pools'!$H$2/R60+'Conference pools'!$H$3*J60/S60))</x:f>
        <x:v>0</x:v>
      </x:c>
      <x:c r="U60" t="n">
        <x:f>IF(OR(NOT(ISNUMBER(P60)),NOT(ISNUMBER(T60))),"",T60-P60)</x:f>
        <x:v>0</x:v>
      </x:c>
      <x:c r="V60" s="8" t="str">
        <x:f>IF(OR(NOT(ISNUMBER(U60)),P60=0),"",U60/P60)</x:f>
      </x:c>
      <x:c r="W60" t="str">
        <x:f>IF(OR(NOT(ISNUMBER(T60)),NOT(ISNUMBER(K60))),"",T60-K60)</x:f>
      </x:c>
      <x:c r="X60" t="n">
        <x:f>IF(NOT(ISNUMBER(M60)),"",M60/N60)</x:f>
        <x:v>0</x:v>
      </x:c>
    </x:row>
    <x:row r="61">
      <x:c r="A61" t="str">
        <x:v>SACRAMENTO_STATE</x:v>
      </x:c>
      <x:c r="B61" t="str">
        <x:v>California State University Sacramento</x:v>
      </x:c>
      <x:c r="C61" t="str">
        <x:v>FBS</x:v>
      </x:c>
      <x:c r="D61" t="str">
        <x:v>Mid-American</x:v>
      </x:c>
      <x:c r="E61" t="str">
        <x:v>Premier Pacific</x:v>
      </x:c>
      <x:c r="F61" t="n">
        <x:v>8</x:v>
      </x:c>
      <x:c r="G61" t="n">
        <x:v>0.4794</x:v>
      </x:c>
      <x:c r="H61" t="n">
        <x:v>0.4474</x:v>
      </x:c>
      <x:c r="I61" t="n">
        <x:v>47.2355</x:v>
      </x:c>
      <x:c r="J61" t="n">
        <x:f>IF(ISNUMBER(I61),MAX(1,I61),1)</x:f>
        <x:v>47.2355</x:v>
      </x:c>
      <x:c r="K61"/>
      <x:c r="L61" t="str">
        <x:v>NOT VERIFIED</x:v>
      </x:c>
      <x:c r="M61" t="n">
        <x:f>IF(COUNTIFS('Conference pools'!$A$2:$A$25,D61,'Conference pools'!$D$2:$D$25,"&gt;=0")=0,"",SUMIF('Conference pools'!$A$2:$A$25,D61,'Conference pools'!$D$2:$D$25))</x:f>
        <x:v>0</x:v>
      </x:c>
      <x:c r="N61" t="n">
        <x:f>COUNTIF($D$2:$D$267,D61)</x:f>
        <x:v>13</x:v>
      </x:c>
      <x:c r="O61" t="n">
        <x:f>SUMIF($D$2:$D$267,D61,$J$2:$J$267)</x:f>
        <x:v>612.9399999999998</x:v>
      </x:c>
      <x:c r="P61" t="n">
        <x:f>IF(OR(NOT(ISNUMBER(M61)),O61=0),"",M61*('Conference pools'!$H$2/N61+'Conference pools'!$H$3*J61/O61))</x:f>
        <x:v>0</x:v>
      </x:c>
      <x:c r="Q61" t="n">
        <x:f>IF(COUNTIFS($E$2:$E$267,E61,$X$2:$X$267,"&lt;&gt;")&lt;&gt;COUNTIF($E$2:$E$267,E61),"",SUMIF($E$2:$E$267,E61,$X$2:$X$267))</x:f>
        <x:v>0</x:v>
      </x:c>
      <x:c r="R61" t="n">
        <x:f>COUNTIF($E$2:$E$267,E61)</x:f>
        <x:v>12</x:v>
      </x:c>
      <x:c r="S61" t="n">
        <x:f>SUMIF($E$2:$E$267,E61,$J$2:$J$267)</x:f>
        <x:v>728.2637</x:v>
      </x:c>
      <x:c r="T61" t="n">
        <x:f>IF(OR(NOT(ISNUMBER(Q61)),S61=0),"",Q61*('Conference pools'!$H$2/R61+'Conference pools'!$H$3*J61/S61))</x:f>
        <x:v>0</x:v>
      </x:c>
      <x:c r="U61" t="n">
        <x:f>IF(OR(NOT(ISNUMBER(P61)),NOT(ISNUMBER(T61))),"",T61-P61)</x:f>
        <x:v>0</x:v>
      </x:c>
      <x:c r="V61" s="8" t="str">
        <x:f>IF(OR(NOT(ISNUMBER(U61)),P61=0),"",U61/P61)</x:f>
      </x:c>
      <x:c r="W61" t="str">
        <x:f>IF(OR(NOT(ISNUMBER(T61)),NOT(ISNUMBER(K61))),"",T61-K61)</x:f>
      </x:c>
      <x:c r="X61" t="n">
        <x:f>IF(NOT(ISNUMBER(M61)),"",M61/N61)</x:f>
        <x:v>0</x:v>
      </x:c>
    </x:row>
    <x:row r="62">
      <x:c r="A62" t="str">
        <x:v>GEORGIA</x:v>
      </x:c>
      <x:c r="B62" t="str">
        <x:v>University of Georgia</x:v>
      </x:c>
      <x:c r="C62" t="str">
        <x:v>FBS</x:v>
      </x:c>
      <x:c r="D62" t="str">
        <x:v>Southeastern Conference</x:v>
      </x:c>
      <x:c r="E62" t="str">
        <x:v>Premier Southeast</x:v>
      </x:c>
      <x:c r="F62" t="n">
        <x:v>1</x:v>
      </x:c>
      <x:c r="G62" t="n">
        <x:v>0.8506</x:v>
      </x:c>
      <x:c r="H62" t="n">
        <x:v>0.5773</x:v>
      </x:c>
      <x:c r="I62" t="n">
        <x:v>75.6225</x:v>
      </x:c>
      <x:c r="J62" t="n">
        <x:f>IF(ISNUMBER(I62),MAX(1,I62),1)</x:f>
        <x:v>75.6225</x:v>
      </x:c>
      <x:c r="K62"/>
      <x:c r="L62" t="str">
        <x:v>NOT VERIFIED</x:v>
      </x:c>
      <x:c r="M62" t="n">
        <x:f>IF(COUNTIFS('Conference pools'!$A$2:$A$25,D62,'Conference pools'!$D$2:$D$25,"&gt;=0")=0,"",SUMIF('Conference pools'!$A$2:$A$25,D62,'Conference pools'!$D$2:$D$25))</x:f>
        <x:v>0</x:v>
      </x:c>
      <x:c r="N62" t="n">
        <x:f>COUNTIF($D$2:$D$267,D62)</x:f>
        <x:v>16</x:v>
      </x:c>
      <x:c r="O62" t="n">
        <x:f>SUMIF($D$2:$D$267,D62,$J$2:$J$267)</x:f>
        <x:v>979.9415</x:v>
      </x:c>
      <x:c r="P62" t="n">
        <x:f>IF(OR(NOT(ISNUMBER(M62)),O62=0),"",M62*('Conference pools'!$H$2/N62+'Conference pools'!$H$3*J62/O62))</x:f>
        <x:v>0</x:v>
      </x:c>
      <x:c r="Q62" t="n">
        <x:f>IF(COUNTIFS($E$2:$E$267,E62,$X$2:$X$267,"&lt;&gt;")&lt;&gt;COUNTIF($E$2:$E$267,E62),"",SUMIF($E$2:$E$267,E62,$X$2:$X$267))</x:f>
        <x:v>0</x:v>
      </x:c>
      <x:c r="R62" t="n">
        <x:f>COUNTIF($E$2:$E$267,E62)</x:f>
        <x:v>12</x:v>
      </x:c>
      <x:c r="S62" t="n">
        <x:f>SUMIF($E$2:$E$267,E62,$J$2:$J$267)</x:f>
        <x:v>714.1456000000001</x:v>
      </x:c>
      <x:c r="T62" t="n">
        <x:f>IF(OR(NOT(ISNUMBER(Q62)),S62=0),"",Q62*('Conference pools'!$H$2/R62+'Conference pools'!$H$3*J62/S62))</x:f>
        <x:v>0</x:v>
      </x:c>
      <x:c r="U62" t="n">
        <x:f>IF(OR(NOT(ISNUMBER(P62)),NOT(ISNUMBER(T62))),"",T62-P62)</x:f>
        <x:v>0</x:v>
      </x:c>
      <x:c r="V62" s="8" t="str">
        <x:f>IF(OR(NOT(ISNUMBER(U62)),P62=0),"",U62/P62)</x:f>
      </x:c>
      <x:c r="W62" t="str">
        <x:f>IF(OR(NOT(ISNUMBER(T62)),NOT(ISNUMBER(K62))),"",T62-K62)</x:f>
      </x:c>
      <x:c r="X62" t="n">
        <x:f>IF(NOT(ISNUMBER(M62)),"",M62/N62)</x:f>
        <x:v>0</x:v>
      </x:c>
    </x:row>
    <x:row r="63">
      <x:c r="A63" t="str">
        <x:v>ALABAMA</x:v>
      </x:c>
      <x:c r="B63" t="str">
        <x:v>University of Alabama</x:v>
      </x:c>
      <x:c r="C63" t="str">
        <x:v>FBS</x:v>
      </x:c>
      <x:c r="D63" t="str">
        <x:v>Southeastern Conference</x:v>
      </x:c>
      <x:c r="E63" t="str">
        <x:v>Premier Southeast</x:v>
      </x:c>
      <x:c r="F63" t="n">
        <x:v>1</x:v>
      </x:c>
      <x:c r="G63" t="n">
        <x:v>0.7514</x:v>
      </x:c>
      <x:c r="H63" t="n">
        <x:v>0.6087</x:v>
      </x:c>
      <x:c r="I63" t="n">
        <x:v>72.0522</x:v>
      </x:c>
      <x:c r="J63" t="n">
        <x:f>IF(ISNUMBER(I63),MAX(1,I63),1)</x:f>
        <x:v>72.0522</x:v>
      </x:c>
      <x:c r="K63"/>
      <x:c r="L63" t="str">
        <x:v>NOT VERIFIED</x:v>
      </x:c>
      <x:c r="M63" t="n">
        <x:f>IF(COUNTIFS('Conference pools'!$A$2:$A$25,D63,'Conference pools'!$D$2:$D$25,"&gt;=0")=0,"",SUMIF('Conference pools'!$A$2:$A$25,D63,'Conference pools'!$D$2:$D$25))</x:f>
        <x:v>0</x:v>
      </x:c>
      <x:c r="N63" t="n">
        <x:f>COUNTIF($D$2:$D$267,D63)</x:f>
        <x:v>16</x:v>
      </x:c>
      <x:c r="O63" t="n">
        <x:f>SUMIF($D$2:$D$267,D63,$J$2:$J$267)</x:f>
        <x:v>979.9415</x:v>
      </x:c>
      <x:c r="P63" t="n">
        <x:f>IF(OR(NOT(ISNUMBER(M63)),O63=0),"",M63*('Conference pools'!$H$2/N63+'Conference pools'!$H$3*J63/O63))</x:f>
        <x:v>0</x:v>
      </x:c>
      <x:c r="Q63" t="n">
        <x:f>IF(COUNTIFS($E$2:$E$267,E63,$X$2:$X$267,"&lt;&gt;")&lt;&gt;COUNTIF($E$2:$E$267,E63),"",SUMIF($E$2:$E$267,E63,$X$2:$X$267))</x:f>
        <x:v>0</x:v>
      </x:c>
      <x:c r="R63" t="n">
        <x:f>COUNTIF($E$2:$E$267,E63)</x:f>
        <x:v>12</x:v>
      </x:c>
      <x:c r="S63" t="n">
        <x:f>SUMIF($E$2:$E$267,E63,$J$2:$J$267)</x:f>
        <x:v>714.1456000000001</x:v>
      </x:c>
      <x:c r="T63" t="n">
        <x:f>IF(OR(NOT(ISNUMBER(Q63)),S63=0),"",Q63*('Conference pools'!$H$2/R63+'Conference pools'!$H$3*J63/S63))</x:f>
        <x:v>0</x:v>
      </x:c>
      <x:c r="U63" t="n">
        <x:f>IF(OR(NOT(ISNUMBER(P63)),NOT(ISNUMBER(T63))),"",T63-P63)</x:f>
        <x:v>0</x:v>
      </x:c>
      <x:c r="V63" s="8" t="str">
        <x:f>IF(OR(NOT(ISNUMBER(U63)),P63=0),"",U63/P63)</x:f>
      </x:c>
      <x:c r="W63" t="str">
        <x:f>IF(OR(NOT(ISNUMBER(T63)),NOT(ISNUMBER(K63))),"",T63-K63)</x:f>
      </x:c>
      <x:c r="X63" t="n">
        <x:f>IF(NOT(ISNUMBER(M63)),"",M63/N63)</x:f>
        <x:v>0</x:v>
      </x:c>
    </x:row>
    <x:row r="64">
      <x:c r="A64" t="str">
        <x:v>MIAMI_FL</x:v>
      </x:c>
      <x:c r="B64" t="str">
        <x:v>University of Miami</x:v>
      </x:c>
      <x:c r="C64" t="str">
        <x:v>FBS</x:v>
      </x:c>
      <x:c r="D64" t="str">
        <x:v>Atlantic Coast Conference</x:v>
      </x:c>
      <x:c r="E64" t="str">
        <x:v>Premier Southeast</x:v>
      </x:c>
      <x:c r="F64" t="n">
        <x:v>1</x:v>
      </x:c>
      <x:c r="G64" t="n">
        <x:v>0.7354</x:v>
      </x:c>
      <x:c r="H64" t="n">
        <x:v>0.5755</x:v>
      </x:c>
      <x:c r="I64" t="n">
        <x:v>66.7442</x:v>
      </x:c>
      <x:c r="J64" t="n">
        <x:f>IF(ISNUMBER(I64),MAX(1,I64),1)</x:f>
        <x:v>66.7442</x:v>
      </x:c>
      <x:c r="K64"/>
      <x:c r="L64" t="str">
        <x:v>NOT VERIFIED</x:v>
      </x:c>
      <x:c r="M64" t="n">
        <x:f>IF(COUNTIFS('Conference pools'!$A$2:$A$25,D64,'Conference pools'!$D$2:$D$25,"&gt;=0")=0,"",SUMIF('Conference pools'!$A$2:$A$25,D64,'Conference pools'!$D$2:$D$25))</x:f>
        <x:v>0</x:v>
      </x:c>
      <x:c r="N64" t="n">
        <x:f>COUNTIF($D$2:$D$267,D64)</x:f>
        <x:v>17</x:v>
      </x:c>
      <x:c r="O64" t="n">
        <x:f>SUMIF($D$2:$D$267,D64,$J$2:$J$267)</x:f>
        <x:v>952.8619000000001</x:v>
      </x:c>
      <x:c r="P64" t="n">
        <x:f>IF(OR(NOT(ISNUMBER(M64)),O64=0),"",M64*('Conference pools'!$H$2/N64+'Conference pools'!$H$3*J64/O64))</x:f>
        <x:v>0</x:v>
      </x:c>
      <x:c r="Q64" t="n">
        <x:f>IF(COUNTIFS($E$2:$E$267,E64,$X$2:$X$267,"&lt;&gt;")&lt;&gt;COUNTIF($E$2:$E$267,E64),"",SUMIF($E$2:$E$267,E64,$X$2:$X$267))</x:f>
        <x:v>0</x:v>
      </x:c>
      <x:c r="R64" t="n">
        <x:f>COUNTIF($E$2:$E$267,E64)</x:f>
        <x:v>12</x:v>
      </x:c>
      <x:c r="S64" t="n">
        <x:f>SUMIF($E$2:$E$267,E64,$J$2:$J$267)</x:f>
        <x:v>714.1456000000001</x:v>
      </x:c>
      <x:c r="T64" t="n">
        <x:f>IF(OR(NOT(ISNUMBER(Q64)),S64=0),"",Q64*('Conference pools'!$H$2/R64+'Conference pools'!$H$3*J64/S64))</x:f>
        <x:v>0</x:v>
      </x:c>
      <x:c r="U64" t="n">
        <x:f>IF(OR(NOT(ISNUMBER(P64)),NOT(ISNUMBER(T64))),"",T64-P64)</x:f>
        <x:v>0</x:v>
      </x:c>
      <x:c r="V64" s="8" t="str">
        <x:f>IF(OR(NOT(ISNUMBER(U64)),P64=0),"",U64/P64)</x:f>
      </x:c>
      <x:c r="W64" t="str">
        <x:f>IF(OR(NOT(ISNUMBER(T64)),NOT(ISNUMBER(K64))),"",T64-K64)</x:f>
      </x:c>
      <x:c r="X64" t="n">
        <x:f>IF(NOT(ISNUMBER(M64)),"",M64/N64)</x:f>
        <x:v>0</x:v>
      </x:c>
    </x:row>
    <x:row r="65">
      <x:c r="A65" t="str">
        <x:v>JACKSONVILLE_STATE</x:v>
      </x:c>
      <x:c r="B65" t="str">
        <x:v>Jacksonville State University</x:v>
      </x:c>
      <x:c r="C65" t="str">
        <x:v>FBS</x:v>
      </x:c>
      <x:c r="D65" t="str">
        <x:v>Conference USA</x:v>
      </x:c>
      <x:c r="E65" t="str">
        <x:v>Premier Southeast</x:v>
      </x:c>
      <x:c r="F65" t="n">
        <x:v>3</x:v>
      </x:c>
      <x:c r="G65" t="n">
        <x:v>0.6547</x:v>
      </x:c>
      <x:c r="H65" t="n">
        <x:v>0.4516</x:v>
      </x:c>
      <x:c r="I65" t="n">
        <x:v>56.2878</x:v>
      </x:c>
      <x:c r="J65" t="n">
        <x:f>IF(ISNUMBER(I65),MAX(1,I65),1)</x:f>
        <x:v>56.2878</x:v>
      </x:c>
      <x:c r="K65"/>
      <x:c r="L65" t="str">
        <x:v>NOT VERIFIED</x:v>
      </x:c>
      <x:c r="M65" t="n">
        <x:f>IF(COUNTIFS('Conference pools'!$A$2:$A$25,D65,'Conference pools'!$D$2:$D$25,"&gt;=0")=0,"",SUMIF('Conference pools'!$A$2:$A$25,D65,'Conference pools'!$D$2:$D$25))</x:f>
        <x:v>0</x:v>
      </x:c>
      <x:c r="N65" t="n">
        <x:f>COUNTIF($D$2:$D$267,D65)</x:f>
        <x:v>10</x:v>
      </x:c>
      <x:c r="O65" t="n">
        <x:f>SUMIF($D$2:$D$267,D65,$J$2:$J$267)</x:f>
        <x:v>487.94570000000004</x:v>
      </x:c>
      <x:c r="P65" t="n">
        <x:f>IF(OR(NOT(ISNUMBER(M65)),O65=0),"",M65*('Conference pools'!$H$2/N65+'Conference pools'!$H$3*J65/O65))</x:f>
        <x:v>0</x:v>
      </x:c>
      <x:c r="Q65" t="n">
        <x:f>IF(COUNTIFS($E$2:$E$267,E65,$X$2:$X$267,"&lt;&gt;")&lt;&gt;COUNTIF($E$2:$E$267,E65),"",SUMIF($E$2:$E$267,E65,$X$2:$X$267))</x:f>
        <x:v>0</x:v>
      </x:c>
      <x:c r="R65" t="n">
        <x:f>COUNTIF($E$2:$E$267,E65)</x:f>
        <x:v>12</x:v>
      </x:c>
      <x:c r="S65" t="n">
        <x:f>SUMIF($E$2:$E$267,E65,$J$2:$J$267)</x:f>
        <x:v>714.1456000000001</x:v>
      </x:c>
      <x:c r="T65" t="n">
        <x:f>IF(OR(NOT(ISNUMBER(Q65)),S65=0),"",Q65*('Conference pools'!$H$2/R65+'Conference pools'!$H$3*J65/S65))</x:f>
        <x:v>0</x:v>
      </x:c>
      <x:c r="U65" t="n">
        <x:f>IF(OR(NOT(ISNUMBER(P65)),NOT(ISNUMBER(T65))),"",T65-P65)</x:f>
        <x:v>0</x:v>
      </x:c>
      <x:c r="V65" s="8" t="str">
        <x:f>IF(OR(NOT(ISNUMBER(U65)),P65=0),"",U65/P65)</x:f>
      </x:c>
      <x:c r="W65" t="str">
        <x:f>IF(OR(NOT(ISNUMBER(T65)),NOT(ISNUMBER(K65))),"",T65-K65)</x:f>
      </x:c>
      <x:c r="X65" t="n">
        <x:f>IF(NOT(ISNUMBER(M65)),"",M65/N65)</x:f>
        <x:v>0</x:v>
      </x:c>
    </x:row>
    <x:row r="66">
      <x:c r="A66" t="str">
        <x:v>CLEMSON</x:v>
      </x:c>
      <x:c r="B66" t="str">
        <x:v>Clemson University</x:v>
      </x:c>
      <x:c r="C66" t="str">
        <x:v>FBS</x:v>
      </x:c>
      <x:c r="D66" t="str">
        <x:v>Atlantic Coast Conference</x:v>
      </x:c>
      <x:c r="E66" t="str">
        <x:v>Premier Southeast</x:v>
      </x:c>
      <x:c r="F66" t="n">
        <x:v>1</x:v>
      </x:c>
      <x:c r="G66" t="n">
        <x:v>0.64</x:v>
      </x:c>
      <x:c r="H66" t="n">
        <x:v>0.5152</x:v>
      </x:c>
      <x:c r="I66" t="n">
        <x:v>64.6268</x:v>
      </x:c>
      <x:c r="J66" t="n">
        <x:f>IF(ISNUMBER(I66),MAX(1,I66),1)</x:f>
        <x:v>64.6268</x:v>
      </x:c>
      <x:c r="K66"/>
      <x:c r="L66" t="str">
        <x:v>NOT VERIFIED</x:v>
      </x:c>
      <x:c r="M66" t="n">
        <x:f>IF(COUNTIFS('Conference pools'!$A$2:$A$25,D66,'Conference pools'!$D$2:$D$25,"&gt;=0")=0,"",SUMIF('Conference pools'!$A$2:$A$25,D66,'Conference pools'!$D$2:$D$25))</x:f>
        <x:v>0</x:v>
      </x:c>
      <x:c r="N66" t="n">
        <x:f>COUNTIF($D$2:$D$267,D66)</x:f>
        <x:v>17</x:v>
      </x:c>
      <x:c r="O66" t="n">
        <x:f>SUMIF($D$2:$D$267,D66,$J$2:$J$267)</x:f>
        <x:v>952.8619000000001</x:v>
      </x:c>
      <x:c r="P66" t="n">
        <x:f>IF(OR(NOT(ISNUMBER(M66)),O66=0),"",M66*('Conference pools'!$H$2/N66+'Conference pools'!$H$3*J66/O66))</x:f>
        <x:v>0</x:v>
      </x:c>
      <x:c r="Q66" t="n">
        <x:f>IF(COUNTIFS($E$2:$E$267,E66,$X$2:$X$267,"&lt;&gt;")&lt;&gt;COUNTIF($E$2:$E$267,E66),"",SUMIF($E$2:$E$267,E66,$X$2:$X$267))</x:f>
        <x:v>0</x:v>
      </x:c>
      <x:c r="R66" t="n">
        <x:f>COUNTIF($E$2:$E$267,E66)</x:f>
        <x:v>12</x:v>
      </x:c>
      <x:c r="S66" t="n">
        <x:f>SUMIF($E$2:$E$267,E66,$J$2:$J$267)</x:f>
        <x:v>714.1456000000001</x:v>
      </x:c>
      <x:c r="T66" t="n">
        <x:f>IF(OR(NOT(ISNUMBER(Q66)),S66=0),"",Q66*('Conference pools'!$H$2/R66+'Conference pools'!$H$3*J66/S66))</x:f>
        <x:v>0</x:v>
      </x:c>
      <x:c r="U66" t="n">
        <x:f>IF(OR(NOT(ISNUMBER(P66)),NOT(ISNUMBER(T66))),"",T66-P66)</x:f>
        <x:v>0</x:v>
      </x:c>
      <x:c r="V66" s="8" t="str">
        <x:f>IF(OR(NOT(ISNUMBER(U66)),P66=0),"",U66/P66)</x:f>
      </x:c>
      <x:c r="W66" t="str">
        <x:f>IF(OR(NOT(ISNUMBER(T66)),NOT(ISNUMBER(K66))),"",T66-K66)</x:f>
      </x:c>
      <x:c r="X66" t="n">
        <x:f>IF(NOT(ISNUMBER(M66)),"",M66/N66)</x:f>
        <x:v>0</x:v>
      </x:c>
    </x:row>
    <x:row r="67">
      <x:c r="A67" t="str">
        <x:v>TROY</x:v>
      </x:c>
      <x:c r="B67" t="str">
        <x:v>Troy University</x:v>
      </x:c>
      <x:c r="C67" t="str">
        <x:v>FBS</x:v>
      </x:c>
      <x:c r="D67" t="str">
        <x:v>Sun Belt</x:v>
      </x:c>
      <x:c r="E67" t="str">
        <x:v>Premier Southeast</x:v>
      </x:c>
      <x:c r="F67" t="n">
        <x:v>3</x:v>
      </x:c>
      <x:c r="G67" t="n">
        <x:v>0.5544</x:v>
      </x:c>
      <x:c r="H67" t="n">
        <x:v>0.5103</x:v>
      </x:c>
      <x:c r="I67" t="n">
        <x:v>55.306</x:v>
      </x:c>
      <x:c r="J67" t="n">
        <x:f>IF(ISNUMBER(I67),MAX(1,I67),1)</x:f>
        <x:v>55.306</x:v>
      </x:c>
      <x:c r="K67"/>
      <x:c r="L67" t="str">
        <x:v>NOT VERIFIED</x:v>
      </x:c>
      <x:c r="M67" t="n">
        <x:f>IF(COUNTIFS('Conference pools'!$A$2:$A$25,D67,'Conference pools'!$D$2:$D$25,"&gt;=0")=0,"",SUMIF('Conference pools'!$A$2:$A$25,D67,'Conference pools'!$D$2:$D$25))</x:f>
        <x:v>0</x:v>
      </x:c>
      <x:c r="N67" t="n">
        <x:f>COUNTIF($D$2:$D$267,D67)</x:f>
        <x:v>13</x:v>
      </x:c>
      <x:c r="O67" t="n">
        <x:f>SUMIF($D$2:$D$267,D67,$J$2:$J$267)</x:f>
        <x:v>670.3176</x:v>
      </x:c>
      <x:c r="P67" t="n">
        <x:f>IF(OR(NOT(ISNUMBER(M67)),O67=0),"",M67*('Conference pools'!$H$2/N67+'Conference pools'!$H$3*J67/O67))</x:f>
        <x:v>0</x:v>
      </x:c>
      <x:c r="Q67" t="n">
        <x:f>IF(COUNTIFS($E$2:$E$267,E67,$X$2:$X$267,"&lt;&gt;")&lt;&gt;COUNTIF($E$2:$E$267,E67),"",SUMIF($E$2:$E$267,E67,$X$2:$X$267))</x:f>
        <x:v>0</x:v>
      </x:c>
      <x:c r="R67" t="n">
        <x:f>COUNTIF($E$2:$E$267,E67)</x:f>
        <x:v>12</x:v>
      </x:c>
      <x:c r="S67" t="n">
        <x:f>SUMIF($E$2:$E$267,E67,$J$2:$J$267)</x:f>
        <x:v>714.1456000000001</x:v>
      </x:c>
      <x:c r="T67" t="n">
        <x:f>IF(OR(NOT(ISNUMBER(Q67)),S67=0),"",Q67*('Conference pools'!$H$2/R67+'Conference pools'!$H$3*J67/S67))</x:f>
        <x:v>0</x:v>
      </x:c>
      <x:c r="U67" t="n">
        <x:f>IF(OR(NOT(ISNUMBER(P67)),NOT(ISNUMBER(T67))),"",T67-P67)</x:f>
        <x:v>0</x:v>
      </x:c>
      <x:c r="V67" s="8" t="str">
        <x:f>IF(OR(NOT(ISNUMBER(U67)),P67=0),"",U67/P67)</x:f>
      </x:c>
      <x:c r="W67" t="str">
        <x:f>IF(OR(NOT(ISNUMBER(T67)),NOT(ISNUMBER(K67))),"",T67-K67)</x:f>
      </x:c>
      <x:c r="X67" t="n">
        <x:f>IF(NOT(ISNUMBER(M67)),"",M67/N67)</x:f>
        <x:v>0</x:v>
      </x:c>
    </x:row>
    <x:row r="68">
      <x:c r="A68" t="str">
        <x:v>GEORGIA_TECH</x:v>
      </x:c>
      <x:c r="B68" t="str">
        <x:v>Georgia Institute of Technology</x:v>
      </x:c>
      <x:c r="C68" t="str">
        <x:v>FBS</x:v>
      </x:c>
      <x:c r="D68" t="str">
        <x:v>Atlantic Coast Conference</x:v>
      </x:c>
      <x:c r="E68" t="str">
        <x:v>Premier Southeast</x:v>
      </x:c>
      <x:c r="F68" t="n">
        <x:v>3</x:v>
      </x:c>
      <x:c r="G68" t="n">
        <x:v>0.6004</x:v>
      </x:c>
      <x:c r="H68" t="n">
        <x:v>0.5377</x:v>
      </x:c>
      <x:c r="I68" t="n">
        <x:v>56.8311</x:v>
      </x:c>
      <x:c r="J68" t="n">
        <x:f>IF(ISNUMBER(I68),MAX(1,I68),1)</x:f>
        <x:v>56.8311</x:v>
      </x:c>
      <x:c r="K68"/>
      <x:c r="L68" t="str">
        <x:v>NOT VERIFIED</x:v>
      </x:c>
      <x:c r="M68" t="n">
        <x:f>IF(COUNTIFS('Conference pools'!$A$2:$A$25,D68,'Conference pools'!$D$2:$D$25,"&gt;=0")=0,"",SUMIF('Conference pools'!$A$2:$A$25,D68,'Conference pools'!$D$2:$D$25))</x:f>
        <x:v>0</x:v>
      </x:c>
      <x:c r="N68" t="n">
        <x:f>COUNTIF($D$2:$D$267,D68)</x:f>
        <x:v>17</x:v>
      </x:c>
      <x:c r="O68" t="n">
        <x:f>SUMIF($D$2:$D$267,D68,$J$2:$J$267)</x:f>
        <x:v>952.8619000000001</x:v>
      </x:c>
      <x:c r="P68" t="n">
        <x:f>IF(OR(NOT(ISNUMBER(M68)),O68=0),"",M68*('Conference pools'!$H$2/N68+'Conference pools'!$H$3*J68/O68))</x:f>
        <x:v>0</x:v>
      </x:c>
      <x:c r="Q68" t="n">
        <x:f>IF(COUNTIFS($E$2:$E$267,E68,$X$2:$X$267,"&lt;&gt;")&lt;&gt;COUNTIF($E$2:$E$267,E68),"",SUMIF($E$2:$E$267,E68,$X$2:$X$267))</x:f>
        <x:v>0</x:v>
      </x:c>
      <x:c r="R68" t="n">
        <x:f>COUNTIF($E$2:$E$267,E68)</x:f>
        <x:v>12</x:v>
      </x:c>
      <x:c r="S68" t="n">
        <x:f>SUMIF($E$2:$E$267,E68,$J$2:$J$267)</x:f>
        <x:v>714.1456000000001</x:v>
      </x:c>
      <x:c r="T68" t="n">
        <x:f>IF(OR(NOT(ISNUMBER(Q68)),S68=0),"",Q68*('Conference pools'!$H$2/R68+'Conference pools'!$H$3*J68/S68))</x:f>
        <x:v>0</x:v>
      </x:c>
      <x:c r="U68" t="n">
        <x:f>IF(OR(NOT(ISNUMBER(P68)),NOT(ISNUMBER(T68))),"",T68-P68)</x:f>
        <x:v>0</x:v>
      </x:c>
      <x:c r="V68" s="8" t="str">
        <x:f>IF(OR(NOT(ISNUMBER(U68)),P68=0),"",U68/P68)</x:f>
      </x:c>
      <x:c r="W68" t="str">
        <x:f>IF(OR(NOT(ISNUMBER(T68)),NOT(ISNUMBER(K68))),"",T68-K68)</x:f>
      </x:c>
      <x:c r="X68" t="n">
        <x:f>IF(NOT(ISNUMBER(M68)),"",M68/N68)</x:f>
        <x:v>0</x:v>
      </x:c>
    </x:row>
    <x:row r="69">
      <x:c r="A69" t="str">
        <x:v>GEORGIA_SOUTHERN</x:v>
      </x:c>
      <x:c r="B69" t="str">
        <x:v>Georgia Southern University</x:v>
      </x:c>
      <x:c r="C69" t="str">
        <x:v>FBS</x:v>
      </x:c>
      <x:c r="D69" t="str">
        <x:v>Sun Belt</x:v>
      </x:c>
      <x:c r="E69" t="str">
        <x:v>Premier Southeast</x:v>
      </x:c>
      <x:c r="F69" t="n">
        <x:v>4</x:v>
      </x:c>
      <x:c r="G69" t="n">
        <x:v>0.5455</x:v>
      </x:c>
      <x:c r="H69" t="n">
        <x:v>0.5318</x:v>
      </x:c>
      <x:c r="I69" t="n">
        <x:v>52.8657</x:v>
      </x:c>
      <x:c r="J69" t="n">
        <x:f>IF(ISNUMBER(I69),MAX(1,I69),1)</x:f>
        <x:v>52.8657</x:v>
      </x:c>
      <x:c r="K69"/>
      <x:c r="L69" t="str">
        <x:v>NOT VERIFIED</x:v>
      </x:c>
      <x:c r="M69" t="n">
        <x:f>IF(COUNTIFS('Conference pools'!$A$2:$A$25,D69,'Conference pools'!$D$2:$D$25,"&gt;=0")=0,"",SUMIF('Conference pools'!$A$2:$A$25,D69,'Conference pools'!$D$2:$D$25))</x:f>
        <x:v>0</x:v>
      </x:c>
      <x:c r="N69" t="n">
        <x:f>COUNTIF($D$2:$D$267,D69)</x:f>
        <x:v>13</x:v>
      </x:c>
      <x:c r="O69" t="n">
        <x:f>SUMIF($D$2:$D$267,D69,$J$2:$J$267)</x:f>
        <x:v>670.3176</x:v>
      </x:c>
      <x:c r="P69" t="n">
        <x:f>IF(OR(NOT(ISNUMBER(M69)),O69=0),"",M69*('Conference pools'!$H$2/N69+'Conference pools'!$H$3*J69/O69))</x:f>
        <x:v>0</x:v>
      </x:c>
      <x:c r="Q69" t="n">
        <x:f>IF(COUNTIFS($E$2:$E$267,E69,$X$2:$X$267,"&lt;&gt;")&lt;&gt;COUNTIF($E$2:$E$267,E69),"",SUMIF($E$2:$E$267,E69,$X$2:$X$267))</x:f>
        <x:v>0</x:v>
      </x:c>
      <x:c r="R69" t="n">
        <x:f>COUNTIF($E$2:$E$267,E69)</x:f>
        <x:v>12</x:v>
      </x:c>
      <x:c r="S69" t="n">
        <x:f>SUMIF($E$2:$E$267,E69,$J$2:$J$267)</x:f>
        <x:v>714.1456000000001</x:v>
      </x:c>
      <x:c r="T69" t="n">
        <x:f>IF(OR(NOT(ISNUMBER(Q69)),S69=0),"",Q69*('Conference pools'!$H$2/R69+'Conference pools'!$H$3*J69/S69))</x:f>
        <x:v>0</x:v>
      </x:c>
      <x:c r="U69" t="n">
        <x:f>IF(OR(NOT(ISNUMBER(P69)),NOT(ISNUMBER(T69))),"",T69-P69)</x:f>
        <x:v>0</x:v>
      </x:c>
      <x:c r="V69" s="8" t="str">
        <x:f>IF(OR(NOT(ISNUMBER(U69)),P69=0),"",U69/P69)</x:f>
      </x:c>
      <x:c r="W69" t="str">
        <x:f>IF(OR(NOT(ISNUMBER(T69)),NOT(ISNUMBER(K69))),"",T69-K69)</x:f>
      </x:c>
      <x:c r="X69" t="n">
        <x:f>IF(NOT(ISNUMBER(M69)),"",M69/N69)</x:f>
        <x:v>0</x:v>
      </x:c>
    </x:row>
    <x:row r="70">
      <x:c r="A70" t="str">
        <x:v>SOUTH_FLORIDA</x:v>
      </x:c>
      <x:c r="B70" t="str">
        <x:v>University of South Florida</x:v>
      </x:c>
      <x:c r="C70" t="str">
        <x:v>FBS</x:v>
      </x:c>
      <x:c r="D70" t="str">
        <x:v>American Athletic</x:v>
      </x:c>
      <x:c r="E70" t="str">
        <x:v>Premier Southeast</x:v>
      </x:c>
      <x:c r="F70" t="n">
        <x:v>3</x:v>
      </x:c>
      <x:c r="G70" t="n">
        <x:v>0.6004</x:v>
      </x:c>
      <x:c r="H70" t="n">
        <x:v>0.5145</x:v>
      </x:c>
      <x:c r="I70" t="n">
        <x:v>55.7416</x:v>
      </x:c>
      <x:c r="J70" t="n">
        <x:f>IF(ISNUMBER(I70),MAX(1,I70),1)</x:f>
        <x:v>55.7416</x:v>
      </x:c>
      <x:c r="K70"/>
      <x:c r="L70" t="str">
        <x:v>NOT VERIFIED</x:v>
      </x:c>
      <x:c r="M70" t="n">
        <x:f>IF(COUNTIFS('Conference pools'!$A$2:$A$25,D70,'Conference pools'!$D$2:$D$25,"&gt;=0")=0,"",SUMIF('Conference pools'!$A$2:$A$25,D70,'Conference pools'!$D$2:$D$25))</x:f>
        <x:v>0</x:v>
      </x:c>
      <x:c r="N70" t="n">
        <x:f>COUNTIF($D$2:$D$267,D70)</x:f>
        <x:v>14</x:v>
      </x:c>
      <x:c r="O70" t="n">
        <x:f>SUMIF($D$2:$D$267,D70,$J$2:$J$267)</x:f>
        <x:v>720.9868000000001</x:v>
      </x:c>
      <x:c r="P70" t="n">
        <x:f>IF(OR(NOT(ISNUMBER(M70)),O70=0),"",M70*('Conference pools'!$H$2/N70+'Conference pools'!$H$3*J70/O70))</x:f>
        <x:v>0</x:v>
      </x:c>
      <x:c r="Q70" t="n">
        <x:f>IF(COUNTIFS($E$2:$E$267,E70,$X$2:$X$267,"&lt;&gt;")&lt;&gt;COUNTIF($E$2:$E$267,E70),"",SUMIF($E$2:$E$267,E70,$X$2:$X$267))</x:f>
        <x:v>0</x:v>
      </x:c>
      <x:c r="R70" t="n">
        <x:f>COUNTIF($E$2:$E$267,E70)</x:f>
        <x:v>12</x:v>
      </x:c>
      <x:c r="S70" t="n">
        <x:f>SUMIF($E$2:$E$267,E70,$J$2:$J$267)</x:f>
        <x:v>714.1456000000001</x:v>
      </x:c>
      <x:c r="T70" t="n">
        <x:f>IF(OR(NOT(ISNUMBER(Q70)),S70=0),"",Q70*('Conference pools'!$H$2/R70+'Conference pools'!$H$3*J70/S70))</x:f>
        <x:v>0</x:v>
      </x:c>
      <x:c r="U70" t="n">
        <x:f>IF(OR(NOT(ISNUMBER(P70)),NOT(ISNUMBER(T70))),"",T70-P70)</x:f>
        <x:v>0</x:v>
      </x:c>
      <x:c r="V70" s="8" t="str">
        <x:f>IF(OR(NOT(ISNUMBER(U70)),P70=0),"",U70/P70)</x:f>
      </x:c>
      <x:c r="W70" t="str">
        <x:f>IF(OR(NOT(ISNUMBER(T70)),NOT(ISNUMBER(K70))),"",T70-K70)</x:f>
      </x:c>
      <x:c r="X70" t="n">
        <x:f>IF(NOT(ISNUMBER(M70)),"",M70/N70)</x:f>
        <x:v>0</x:v>
      </x:c>
    </x:row>
    <x:row r="71">
      <x:c r="A71" t="str">
        <x:v>COASTAL_CAROLINA</x:v>
      </x:c>
      <x:c r="B71" t="str">
        <x:v>Coastal Carolina University</x:v>
      </x:c>
      <x:c r="C71" t="str">
        <x:v>FBS</x:v>
      </x:c>
      <x:c r="D71" t="str">
        <x:v>Sun Belt</x:v>
      </x:c>
      <x:c r="E71" t="str">
        <x:v>Premier Southeast</x:v>
      </x:c>
      <x:c r="F71" t="n">
        <x:v>5</x:v>
      </x:c>
      <x:c r="G71" t="n">
        <x:v>0.5004</x:v>
      </x:c>
      <x:c r="H71" t="n">
        <x:v>0.5218</x:v>
      </x:c>
      <x:c r="I71" t="n">
        <x:v>52.3169</x:v>
      </x:c>
      <x:c r="J71" t="n">
        <x:f>IF(ISNUMBER(I71),MAX(1,I71),1)</x:f>
        <x:v>52.3169</x:v>
      </x:c>
      <x:c r="K71"/>
      <x:c r="L71" t="str">
        <x:v>NOT VERIFIED</x:v>
      </x:c>
      <x:c r="M71" t="n">
        <x:f>IF(COUNTIFS('Conference pools'!$A$2:$A$25,D71,'Conference pools'!$D$2:$D$25,"&gt;=0")=0,"",SUMIF('Conference pools'!$A$2:$A$25,D71,'Conference pools'!$D$2:$D$25))</x:f>
        <x:v>0</x:v>
      </x:c>
      <x:c r="N71" t="n">
        <x:f>COUNTIF($D$2:$D$267,D71)</x:f>
        <x:v>13</x:v>
      </x:c>
      <x:c r="O71" t="n">
        <x:f>SUMIF($D$2:$D$267,D71,$J$2:$J$267)</x:f>
        <x:v>670.3176</x:v>
      </x:c>
      <x:c r="P71" t="n">
        <x:f>IF(OR(NOT(ISNUMBER(M71)),O71=0),"",M71*('Conference pools'!$H$2/N71+'Conference pools'!$H$3*J71/O71))</x:f>
        <x:v>0</x:v>
      </x:c>
      <x:c r="Q71" t="n">
        <x:f>IF(COUNTIFS($E$2:$E$267,E71,$X$2:$X$267,"&lt;&gt;")&lt;&gt;COUNTIF($E$2:$E$267,E71),"",SUMIF($E$2:$E$267,E71,$X$2:$X$267))</x:f>
        <x:v>0</x:v>
      </x:c>
      <x:c r="R71" t="n">
        <x:f>COUNTIF($E$2:$E$267,E71)</x:f>
        <x:v>12</x:v>
      </x:c>
      <x:c r="S71" t="n">
        <x:f>SUMIF($E$2:$E$267,E71,$J$2:$J$267)</x:f>
        <x:v>714.1456000000001</x:v>
      </x:c>
      <x:c r="T71" t="n">
        <x:f>IF(OR(NOT(ISNUMBER(Q71)),S71=0),"",Q71*('Conference pools'!$H$2/R71+'Conference pools'!$H$3*J71/S71))</x:f>
        <x:v>0</x:v>
      </x:c>
      <x:c r="U71" t="n">
        <x:f>IF(OR(NOT(ISNUMBER(P71)),NOT(ISNUMBER(T71))),"",T71-P71)</x:f>
        <x:v>0</x:v>
      </x:c>
      <x:c r="V71" s="8" t="str">
        <x:f>IF(OR(NOT(ISNUMBER(U71)),P71=0),"",U71/P71)</x:f>
      </x:c>
      <x:c r="W71" t="str">
        <x:f>IF(OR(NOT(ISNUMBER(T71)),NOT(ISNUMBER(K71))),"",T71-K71)</x:f>
      </x:c>
      <x:c r="X71" t="n">
        <x:f>IF(NOT(ISNUMBER(M71)),"",M71/N71)</x:f>
        <x:v>0</x:v>
      </x:c>
    </x:row>
    <x:row r="72">
      <x:c r="A72" t="str">
        <x:v>FLORIDA_STATE</x:v>
      </x:c>
      <x:c r="B72" t="str">
        <x:v>Florida State University</x:v>
      </x:c>
      <x:c r="C72" t="str">
        <x:v>FBS</x:v>
      </x:c>
      <x:c r="D72" t="str">
        <x:v>Atlantic Coast Conference</x:v>
      </x:c>
      <x:c r="E72" t="str">
        <x:v>Premier Southeast</x:v>
      </x:c>
      <x:c r="F72" t="n">
        <x:v>3</x:v>
      </x:c>
      <x:c r="G72" t="n">
        <x:v>0.4789</x:v>
      </x:c>
      <x:c r="H72" t="n">
        <x:v>0.5567</x:v>
      </x:c>
      <x:c r="I72" t="n">
        <x:v>55.5324</x:v>
      </x:c>
      <x:c r="J72" t="n">
        <x:f>IF(ISNUMBER(I72),MAX(1,I72),1)</x:f>
        <x:v>55.5324</x:v>
      </x:c>
      <x:c r="K72"/>
      <x:c r="L72" t="str">
        <x:v>NOT VERIFIED</x:v>
      </x:c>
      <x:c r="M72" t="n">
        <x:f>IF(COUNTIFS('Conference pools'!$A$2:$A$25,D72,'Conference pools'!$D$2:$D$25,"&gt;=0")=0,"",SUMIF('Conference pools'!$A$2:$A$25,D72,'Conference pools'!$D$2:$D$25))</x:f>
        <x:v>0</x:v>
      </x:c>
      <x:c r="N72" t="n">
        <x:f>COUNTIF($D$2:$D$267,D72)</x:f>
        <x:v>17</x:v>
      </x:c>
      <x:c r="O72" t="n">
        <x:f>SUMIF($D$2:$D$267,D72,$J$2:$J$267)</x:f>
        <x:v>952.8619000000001</x:v>
      </x:c>
      <x:c r="P72" t="n">
        <x:f>IF(OR(NOT(ISNUMBER(M72)),O72=0),"",M72*('Conference pools'!$H$2/N72+'Conference pools'!$H$3*J72/O72))</x:f>
        <x:v>0</x:v>
      </x:c>
      <x:c r="Q72" t="n">
        <x:f>IF(COUNTIFS($E$2:$E$267,E72,$X$2:$X$267,"&lt;&gt;")&lt;&gt;COUNTIF($E$2:$E$267,E72),"",SUMIF($E$2:$E$267,E72,$X$2:$X$267))</x:f>
        <x:v>0</x:v>
      </x:c>
      <x:c r="R72" t="n">
        <x:f>COUNTIF($E$2:$E$267,E72)</x:f>
        <x:v>12</x:v>
      </x:c>
      <x:c r="S72" t="n">
        <x:f>SUMIF($E$2:$E$267,E72,$J$2:$J$267)</x:f>
        <x:v>714.1456000000001</x:v>
      </x:c>
      <x:c r="T72" t="n">
        <x:f>IF(OR(NOT(ISNUMBER(Q72)),S72=0),"",Q72*('Conference pools'!$H$2/R72+'Conference pools'!$H$3*J72/S72))</x:f>
        <x:v>0</x:v>
      </x:c>
      <x:c r="U72" t="n">
        <x:f>IF(OR(NOT(ISNUMBER(P72)),NOT(ISNUMBER(T72))),"",T72-P72)</x:f>
        <x:v>0</x:v>
      </x:c>
      <x:c r="V72" s="8" t="str">
        <x:f>IF(OR(NOT(ISNUMBER(U72)),P72=0),"",U72/P72)</x:f>
      </x:c>
      <x:c r="W72" t="str">
        <x:f>IF(OR(NOT(ISNUMBER(T72)),NOT(ISNUMBER(K72))),"",T72-K72)</x:f>
      </x:c>
      <x:c r="X72" t="n">
        <x:f>IF(NOT(ISNUMBER(M72)),"",M72/N72)</x:f>
        <x:v>0</x:v>
      </x:c>
    </x:row>
    <x:row r="73">
      <x:c r="A73" t="str">
        <x:v>SOUTH_ALABAMA</x:v>
      </x:c>
      <x:c r="B73" t="str">
        <x:v>University of South Alabama</x:v>
      </x:c>
      <x:c r="C73" t="str">
        <x:v>FBS</x:v>
      </x:c>
      <x:c r="D73" t="str">
        <x:v>Sun Belt</x:v>
      </x:c>
      <x:c r="E73" t="str">
        <x:v>Premier Southeast</x:v>
      </x:c>
      <x:c r="F73" t="n">
        <x:v>5</x:v>
      </x:c>
      <x:c r="G73" t="n">
        <x:v>0.4599</x:v>
      </x:c>
      <x:c r="H73" t="n">
        <x:v>0.4919</x:v>
      </x:c>
      <x:c r="I73" t="n">
        <x:v>50.2184</x:v>
      </x:c>
      <x:c r="J73" t="n">
        <x:f>IF(ISNUMBER(I73),MAX(1,I73),1)</x:f>
        <x:v>50.2184</x:v>
      </x:c>
      <x:c r="K73"/>
      <x:c r="L73" t="str">
        <x:v>NOT VERIFIED</x:v>
      </x:c>
      <x:c r="M73" t="n">
        <x:f>IF(COUNTIFS('Conference pools'!$A$2:$A$25,D73,'Conference pools'!$D$2:$D$25,"&gt;=0")=0,"",SUMIF('Conference pools'!$A$2:$A$25,D73,'Conference pools'!$D$2:$D$25))</x:f>
        <x:v>0</x:v>
      </x:c>
      <x:c r="N73" t="n">
        <x:f>COUNTIF($D$2:$D$267,D73)</x:f>
        <x:v>13</x:v>
      </x:c>
      <x:c r="O73" t="n">
        <x:f>SUMIF($D$2:$D$267,D73,$J$2:$J$267)</x:f>
        <x:v>670.3176</x:v>
      </x:c>
      <x:c r="P73" t="n">
        <x:f>IF(OR(NOT(ISNUMBER(M73)),O73=0),"",M73*('Conference pools'!$H$2/N73+'Conference pools'!$H$3*J73/O73))</x:f>
        <x:v>0</x:v>
      </x:c>
      <x:c r="Q73" t="n">
        <x:f>IF(COUNTIFS($E$2:$E$267,E73,$X$2:$X$267,"&lt;&gt;")&lt;&gt;COUNTIF($E$2:$E$267,E73),"",SUMIF($E$2:$E$267,E73,$X$2:$X$267))</x:f>
        <x:v>0</x:v>
      </x:c>
      <x:c r="R73" t="n">
        <x:f>COUNTIF($E$2:$E$267,E73)</x:f>
        <x:v>12</x:v>
      </x:c>
      <x:c r="S73" t="n">
        <x:f>SUMIF($E$2:$E$267,E73,$J$2:$J$267)</x:f>
        <x:v>714.1456000000001</x:v>
      </x:c>
      <x:c r="T73" t="n">
        <x:f>IF(OR(NOT(ISNUMBER(Q73)),S73=0),"",Q73*('Conference pools'!$H$2/R73+'Conference pools'!$H$3*J73/S73))</x:f>
        <x:v>0</x:v>
      </x:c>
      <x:c r="U73" t="n">
        <x:f>IF(OR(NOT(ISNUMBER(P73)),NOT(ISNUMBER(T73))),"",T73-P73)</x:f>
        <x:v>0</x:v>
      </x:c>
      <x:c r="V73" s="8" t="str">
        <x:f>IF(OR(NOT(ISNUMBER(U73)),P73=0),"",U73/P73)</x:f>
      </x:c>
      <x:c r="W73" t="str">
        <x:f>IF(OR(NOT(ISNUMBER(T73)),NOT(ISNUMBER(K73))),"",T73-K73)</x:f>
      </x:c>
      <x:c r="X73" t="n">
        <x:f>IF(NOT(ISNUMBER(M73)),"",M73/N73)</x:f>
        <x:v>0</x:v>
      </x:c>
    </x:row>
    <x:row r="74">
      <x:c r="A74" t="str">
        <x:v>VIRGINIA</x:v>
      </x:c>
      <x:c r="B74" t="str">
        <x:v>University of Virginia</x:v>
      </x:c>
      <x:c r="C74" t="str">
        <x:v>FBS</x:v>
      </x:c>
      <x:c r="D74" t="str">
        <x:v>Atlantic Coast Conference</x:v>
      </x:c>
      <x:c r="E74" t="str">
        <x:v>National Atlantic</x:v>
      </x:c>
      <x:c r="F74" t="n">
        <x:v>3</x:v>
      </x:c>
      <x:c r="G74" t="n">
        <x:v>0.5395</x:v>
      </x:c>
      <x:c r="H74" t="n">
        <x:v>0.5666</x:v>
      </x:c>
      <x:c r="I74" t="n">
        <x:v>54.1969</x:v>
      </x:c>
      <x:c r="J74" t="n">
        <x:f>IF(ISNUMBER(I74),MAX(1,I74),1)</x:f>
        <x:v>54.1969</x:v>
      </x:c>
      <x:c r="K74"/>
      <x:c r="L74" t="str">
        <x:v>NOT VERIFIED</x:v>
      </x:c>
      <x:c r="M74" t="n">
        <x:f>IF(COUNTIFS('Conference pools'!$A$2:$A$25,D74,'Conference pools'!$D$2:$D$25,"&gt;=0")=0,"",SUMIF('Conference pools'!$A$2:$A$25,D74,'Conference pools'!$D$2:$D$25))</x:f>
        <x:v>0</x:v>
      </x:c>
      <x:c r="N74" t="n">
        <x:f>COUNTIF($D$2:$D$267,D74)</x:f>
        <x:v>17</x:v>
      </x:c>
      <x:c r="O74" t="n">
        <x:f>SUMIF($D$2:$D$267,D74,$J$2:$J$267)</x:f>
        <x:v>952.8619000000001</x:v>
      </x:c>
      <x:c r="P74" t="n">
        <x:f>IF(OR(NOT(ISNUMBER(M74)),O74=0),"",M74*('Conference pools'!$H$2/N74+'Conference pools'!$H$3*J74/O74))</x:f>
        <x:v>0</x:v>
      </x:c>
      <x:c r="Q74" t="n">
        <x:f>IF(COUNTIFS($E$2:$E$267,E74,$X$2:$X$267,"&lt;&gt;")&lt;&gt;COUNTIF($E$2:$E$267,E74),"",SUMIF($E$2:$E$267,E74,$X$2:$X$267))</x:f>
        <x:v>0</x:v>
      </x:c>
      <x:c r="R74" t="n">
        <x:f>COUNTIF($E$2:$E$267,E74)</x:f>
        <x:v>10</x:v>
      </x:c>
      <x:c r="S74" t="n">
        <x:f>SUMIF($E$2:$E$267,E74,$J$2:$J$267)</x:f>
        <x:v>464.2383</x:v>
      </x:c>
      <x:c r="T74" t="n">
        <x:f>IF(OR(NOT(ISNUMBER(Q74)),S74=0),"",Q74*('Conference pools'!$H$2/R74+'Conference pools'!$H$3*J74/S74))</x:f>
        <x:v>0</x:v>
      </x:c>
      <x:c r="U74" t="n">
        <x:f>IF(OR(NOT(ISNUMBER(P74)),NOT(ISNUMBER(T74))),"",T74-P74)</x:f>
        <x:v>0</x:v>
      </x:c>
      <x:c r="V74" s="8" t="str">
        <x:f>IF(OR(NOT(ISNUMBER(U74)),P74=0),"",U74/P74)</x:f>
      </x:c>
      <x:c r="W74" t="str">
        <x:f>IF(OR(NOT(ISNUMBER(T74)),NOT(ISNUMBER(K74))),"",T74-K74)</x:f>
      </x:c>
      <x:c r="X74" t="n">
        <x:f>IF(NOT(ISNUMBER(M74)),"",M74/N74)</x:f>
        <x:v>0</x:v>
      </x:c>
    </x:row>
    <x:row r="75">
      <x:c r="A75" t="str">
        <x:v>SYRACUSE</x:v>
      </x:c>
      <x:c r="B75" t="str">
        <x:v>Syracuse University</x:v>
      </x:c>
      <x:c r="C75" t="str">
        <x:v>FBS</x:v>
      </x:c>
      <x:c r="D75" t="str">
        <x:v>Atlantic Coast Conference</x:v>
      </x:c>
      <x:c r="E75" t="str">
        <x:v>National Atlantic</x:v>
      </x:c>
      <x:c r="F75" t="n">
        <x:v>5</x:v>
      </x:c>
      <x:c r="G75" t="n">
        <x:v>0.49</x:v>
      </x:c>
      <x:c r="H75" t="n">
        <x:v>0.5619</x:v>
      </x:c>
      <x:c r="I75" t="n">
        <x:v>51.387</x:v>
      </x:c>
      <x:c r="J75" t="n">
        <x:f>IF(ISNUMBER(I75),MAX(1,I75),1)</x:f>
        <x:v>51.387</x:v>
      </x:c>
      <x:c r="K75"/>
      <x:c r="L75" t="str">
        <x:v>NOT VERIFIED</x:v>
      </x:c>
      <x:c r="M75" t="n">
        <x:f>IF(COUNTIFS('Conference pools'!$A$2:$A$25,D75,'Conference pools'!$D$2:$D$25,"&gt;=0")=0,"",SUMIF('Conference pools'!$A$2:$A$25,D75,'Conference pools'!$D$2:$D$25))</x:f>
        <x:v>0</x:v>
      </x:c>
      <x:c r="N75" t="n">
        <x:f>COUNTIF($D$2:$D$267,D75)</x:f>
        <x:v>17</x:v>
      </x:c>
      <x:c r="O75" t="n">
        <x:f>SUMIF($D$2:$D$267,D75,$J$2:$J$267)</x:f>
        <x:v>952.8619000000001</x:v>
      </x:c>
      <x:c r="P75" t="n">
        <x:f>IF(OR(NOT(ISNUMBER(M75)),O75=0),"",M75*('Conference pools'!$H$2/N75+'Conference pools'!$H$3*J75/O75))</x:f>
        <x:v>0</x:v>
      </x:c>
      <x:c r="Q75" t="n">
        <x:f>IF(COUNTIFS($E$2:$E$267,E75,$X$2:$X$267,"&lt;&gt;")&lt;&gt;COUNTIF($E$2:$E$267,E75),"",SUMIF($E$2:$E$267,E75,$X$2:$X$267))</x:f>
        <x:v>0</x:v>
      </x:c>
      <x:c r="R75" t="n">
        <x:f>COUNTIF($E$2:$E$267,E75)</x:f>
        <x:v>10</x:v>
      </x:c>
      <x:c r="S75" t="n">
        <x:f>SUMIF($E$2:$E$267,E75,$J$2:$J$267)</x:f>
        <x:v>464.2383</x:v>
      </x:c>
      <x:c r="T75" t="n">
        <x:f>IF(OR(NOT(ISNUMBER(Q75)),S75=0),"",Q75*('Conference pools'!$H$2/R75+'Conference pools'!$H$3*J75/S75))</x:f>
        <x:v>0</x:v>
      </x:c>
      <x:c r="U75" t="n">
        <x:f>IF(OR(NOT(ISNUMBER(P75)),NOT(ISNUMBER(T75))),"",T75-P75)</x:f>
        <x:v>0</x:v>
      </x:c>
      <x:c r="V75" s="8" t="str">
        <x:f>IF(OR(NOT(ISNUMBER(U75)),P75=0),"",U75/P75)</x:f>
      </x:c>
      <x:c r="W75" t="str">
        <x:f>IF(OR(NOT(ISNUMBER(T75)),NOT(ISNUMBER(K75))),"",T75-K75)</x:f>
      </x:c>
      <x:c r="X75" t="n">
        <x:f>IF(NOT(ISNUMBER(M75)),"",M75/N75)</x:f>
        <x:v>0</x:v>
      </x:c>
    </x:row>
    <x:row r="76">
      <x:c r="A76" t="str">
        <x:v>BUFFALO</x:v>
      </x:c>
      <x:c r="B76" t="str">
        <x:v>University at Buffalo</x:v>
      </x:c>
      <x:c r="C76" t="str">
        <x:v>FBS</x:v>
      </x:c>
      <x:c r="D76" t="str">
        <x:v>Mid-American</x:v>
      </x:c>
      <x:c r="E76" t="str">
        <x:v>National Atlantic</x:v>
      </x:c>
      <x:c r="F76" t="n">
        <x:v>6</x:v>
      </x:c>
      <x:c r="G76" t="n">
        <x:v>0.4758</x:v>
      </x:c>
      <x:c r="H76" t="n">
        <x:v>0.4745</x:v>
      </x:c>
      <x:c r="I76" t="n">
        <x:v>48.9955</x:v>
      </x:c>
      <x:c r="J76" t="n">
        <x:f>IF(ISNUMBER(I76),MAX(1,I76),1)</x:f>
        <x:v>48.9955</x:v>
      </x:c>
      <x:c r="K76"/>
      <x:c r="L76" t="str">
        <x:v>NOT VERIFIED</x:v>
      </x:c>
      <x:c r="M76" t="n">
        <x:f>IF(COUNTIFS('Conference pools'!$A$2:$A$25,D76,'Conference pools'!$D$2:$D$25,"&gt;=0")=0,"",SUMIF('Conference pools'!$A$2:$A$25,D76,'Conference pools'!$D$2:$D$25))</x:f>
        <x:v>0</x:v>
      </x:c>
      <x:c r="N76" t="n">
        <x:f>COUNTIF($D$2:$D$267,D76)</x:f>
        <x:v>13</x:v>
      </x:c>
      <x:c r="O76" t="n">
        <x:f>SUMIF($D$2:$D$267,D76,$J$2:$J$267)</x:f>
        <x:v>612.9399999999998</x:v>
      </x:c>
      <x:c r="P76" t="n">
        <x:f>IF(OR(NOT(ISNUMBER(M76)),O76=0),"",M76*('Conference pools'!$H$2/N76+'Conference pools'!$H$3*J76/O76))</x:f>
        <x:v>0</x:v>
      </x:c>
      <x:c r="Q76" t="n">
        <x:f>IF(COUNTIFS($E$2:$E$267,E76,$X$2:$X$267,"&lt;&gt;")&lt;&gt;COUNTIF($E$2:$E$267,E76),"",SUMIF($E$2:$E$267,E76,$X$2:$X$267))</x:f>
        <x:v>0</x:v>
      </x:c>
      <x:c r="R76" t="n">
        <x:f>COUNTIF($E$2:$E$267,E76)</x:f>
        <x:v>10</x:v>
      </x:c>
      <x:c r="S76" t="n">
        <x:f>SUMIF($E$2:$E$267,E76,$J$2:$J$267)</x:f>
        <x:v>464.2383</x:v>
      </x:c>
      <x:c r="T76" t="n">
        <x:f>IF(OR(NOT(ISNUMBER(Q76)),S76=0),"",Q76*('Conference pools'!$H$2/R76+'Conference pools'!$H$3*J76/S76))</x:f>
        <x:v>0</x:v>
      </x:c>
      <x:c r="U76" t="n">
        <x:f>IF(OR(NOT(ISNUMBER(P76)),NOT(ISNUMBER(T76))),"",T76-P76)</x:f>
        <x:v>0</x:v>
      </x:c>
      <x:c r="V76" s="8" t="str">
        <x:f>IF(OR(NOT(ISNUMBER(U76)),P76=0),"",U76/P76)</x:f>
      </x:c>
      <x:c r="W76" t="str">
        <x:f>IF(OR(NOT(ISNUMBER(T76)),NOT(ISNUMBER(K76))),"",T76-K76)</x:f>
      </x:c>
      <x:c r="X76" t="n">
        <x:f>IF(NOT(ISNUMBER(M76)),"",M76/N76)</x:f>
        <x:v>0</x:v>
      </x:c>
    </x:row>
    <x:row r="77">
      <x:c r="A77" t="str">
        <x:v>RUTGERS</x:v>
      </x:c>
      <x:c r="B77" t="str">
        <x:v>Rutgers University</x:v>
      </x:c>
      <x:c r="C77" t="str">
        <x:v>FBS</x:v>
      </x:c>
      <x:c r="D77" t="str">
        <x:v>Big Ten</x:v>
      </x:c>
      <x:c r="E77" t="str">
        <x:v>National Atlantic</x:v>
      </x:c>
      <x:c r="F77" t="n">
        <x:v>5</x:v>
      </x:c>
      <x:c r="G77" t="n">
        <x:v>0.4918</x:v>
      </x:c>
      <x:c r="H77" t="n">
        <x:v>0.5361</x:v>
      </x:c>
      <x:c r="I77" t="n">
        <x:v>51.4046</x:v>
      </x:c>
      <x:c r="J77" t="n">
        <x:f>IF(ISNUMBER(I77),MAX(1,I77),1)</x:f>
        <x:v>51.4046</x:v>
      </x:c>
      <x:c r="K77"/>
      <x:c r="L77" t="str">
        <x:v>NOT VERIFIED</x:v>
      </x:c>
      <x:c r="M77" t="n">
        <x:f>IF(COUNTIFS('Conference pools'!$A$2:$A$25,D77,'Conference pools'!$D$2:$D$25,"&gt;=0")=0,"",SUMIF('Conference pools'!$A$2:$A$25,D77,'Conference pools'!$D$2:$D$25))</x:f>
        <x:v>0</x:v>
      </x:c>
      <x:c r="N77" t="n">
        <x:f>COUNTIF($D$2:$D$267,D77)</x:f>
        <x:v>18</x:v>
      </x:c>
      <x:c r="O77" t="n">
        <x:f>SUMIF($D$2:$D$267,D77,$J$2:$J$267)</x:f>
        <x:v>1068.7005</x:v>
      </x:c>
      <x:c r="P77" t="n">
        <x:f>IF(OR(NOT(ISNUMBER(M77)),O77=0),"",M77*('Conference pools'!$H$2/N77+'Conference pools'!$H$3*J77/O77))</x:f>
        <x:v>0</x:v>
      </x:c>
      <x:c r="Q77" t="n">
        <x:f>IF(COUNTIFS($E$2:$E$267,E77,$X$2:$X$267,"&lt;&gt;")&lt;&gt;COUNTIF($E$2:$E$267,E77),"",SUMIF($E$2:$E$267,E77,$X$2:$X$267))</x:f>
        <x:v>0</x:v>
      </x:c>
      <x:c r="R77" t="n">
        <x:f>COUNTIF($E$2:$E$267,E77)</x:f>
        <x:v>10</x:v>
      </x:c>
      <x:c r="S77" t="n">
        <x:f>SUMIF($E$2:$E$267,E77,$J$2:$J$267)</x:f>
        <x:v>464.2383</x:v>
      </x:c>
      <x:c r="T77" t="n">
        <x:f>IF(OR(NOT(ISNUMBER(Q77)),S77=0),"",Q77*('Conference pools'!$H$2/R77+'Conference pools'!$H$3*J77/S77))</x:f>
        <x:v>0</x:v>
      </x:c>
      <x:c r="U77" t="n">
        <x:f>IF(OR(NOT(ISNUMBER(P77)),NOT(ISNUMBER(T77))),"",T77-P77)</x:f>
        <x:v>0</x:v>
      </x:c>
      <x:c r="V77" s="8" t="str">
        <x:f>IF(OR(NOT(ISNUMBER(U77)),P77=0),"",U77/P77)</x:f>
      </x:c>
      <x:c r="W77" t="str">
        <x:f>IF(OR(NOT(ISNUMBER(T77)),NOT(ISNUMBER(K77))),"",T77-K77)</x:f>
      </x:c>
      <x:c r="X77" t="n">
        <x:f>IF(NOT(ISNUMBER(M77)),"",M77/N77)</x:f>
        <x:v>0</x:v>
      </x:c>
    </x:row>
    <x:row r="78">
      <x:c r="A78" t="str">
        <x:v>WEST_VIRGINIA</x:v>
      </x:c>
      <x:c r="B78" t="str">
        <x:v>West Virginia University</x:v>
      </x:c>
      <x:c r="C78" t="str">
        <x:v>FBS</x:v>
      </x:c>
      <x:c r="D78" t="str">
        <x:v>Big 12</x:v>
      </x:c>
      <x:c r="E78" t="str">
        <x:v>National Atlantic</x:v>
      </x:c>
      <x:c r="F78" t="n">
        <x:v>4</x:v>
      </x:c>
      <x:c r="G78" t="n">
        <x:v>0.4726</x:v>
      </x:c>
      <x:c r="H78" t="n">
        <x:v>0.5516</x:v>
      </x:c>
      <x:c r="I78" t="n">
        <x:v>52.7035</x:v>
      </x:c>
      <x:c r="J78" t="n">
        <x:f>IF(ISNUMBER(I78),MAX(1,I78),1)</x:f>
        <x:v>52.7035</x:v>
      </x:c>
      <x:c r="K78"/>
      <x:c r="L78" t="str">
        <x:v>NOT VERIFIED</x:v>
      </x:c>
      <x:c r="M78" t="n">
        <x:f>IF(COUNTIFS('Conference pools'!$A$2:$A$25,D78,'Conference pools'!$D$2:$D$25,"&gt;=0")=0,"",SUMIF('Conference pools'!$A$2:$A$25,D78,'Conference pools'!$D$2:$D$25))</x:f>
        <x:v>0</x:v>
      </x:c>
      <x:c r="N78" t="n">
        <x:f>COUNTIF($D$2:$D$267,D78)</x:f>
        <x:v>16</x:v>
      </x:c>
      <x:c r="O78" t="n">
        <x:f>SUMIF($D$2:$D$267,D78,$J$2:$J$267)</x:f>
        <x:v>905.6582</x:v>
      </x:c>
      <x:c r="P78" t="n">
        <x:f>IF(OR(NOT(ISNUMBER(M78)),O78=0),"",M78*('Conference pools'!$H$2/N78+'Conference pools'!$H$3*J78/O78))</x:f>
        <x:v>0</x:v>
      </x:c>
      <x:c r="Q78" t="n">
        <x:f>IF(COUNTIFS($E$2:$E$267,E78,$X$2:$X$267,"&lt;&gt;")&lt;&gt;COUNTIF($E$2:$E$267,E78),"",SUMIF($E$2:$E$267,E78,$X$2:$X$267))</x:f>
        <x:v>0</x:v>
      </x:c>
      <x:c r="R78" t="n">
        <x:f>COUNTIF($E$2:$E$267,E78)</x:f>
        <x:v>10</x:v>
      </x:c>
      <x:c r="S78" t="n">
        <x:f>SUMIF($E$2:$E$267,E78,$J$2:$J$267)</x:f>
        <x:v>464.2383</x:v>
      </x:c>
      <x:c r="T78" t="n">
        <x:f>IF(OR(NOT(ISNUMBER(Q78)),S78=0),"",Q78*('Conference pools'!$H$2/R78+'Conference pools'!$H$3*J78/S78))</x:f>
        <x:v>0</x:v>
      </x:c>
      <x:c r="U78" t="n">
        <x:f>IF(OR(NOT(ISNUMBER(P78)),NOT(ISNUMBER(T78))),"",T78-P78)</x:f>
        <x:v>0</x:v>
      </x:c>
      <x:c r="V78" s="8" t="str">
        <x:f>IF(OR(NOT(ISNUMBER(U78)),P78=0),"",U78/P78)</x:f>
      </x:c>
      <x:c r="W78" t="str">
        <x:f>IF(OR(NOT(ISNUMBER(T78)),NOT(ISNUMBER(K78))),"",T78-K78)</x:f>
      </x:c>
      <x:c r="X78" t="n">
        <x:f>IF(NOT(ISNUMBER(M78)),"",M78/N78)</x:f>
        <x:v>0</x:v>
      </x:c>
    </x:row>
    <x:row r="79">
      <x:c r="A79" t="str">
        <x:v>MARYLAND</x:v>
      </x:c>
      <x:c r="B79" t="str">
        <x:v>University of Maryland College Park</x:v>
      </x:c>
      <x:c r="C79" t="str">
        <x:v>FBS</x:v>
      </x:c>
      <x:c r="D79" t="str">
        <x:v>Big Ten</x:v>
      </x:c>
      <x:c r="E79" t="str">
        <x:v>National Atlantic</x:v>
      </x:c>
      <x:c r="F79" t="n">
        <x:v>5</x:v>
      </x:c>
      <x:c r="G79" t="n">
        <x:v>0.409</x:v>
      </x:c>
      <x:c r="H79" t="n">
        <x:v>0.5445</x:v>
      </x:c>
      <x:c r="I79" t="n">
        <x:v>50.3923</x:v>
      </x:c>
      <x:c r="J79" t="n">
        <x:f>IF(ISNUMBER(I79),MAX(1,I79),1)</x:f>
        <x:v>50.3923</x:v>
      </x:c>
      <x:c r="K79"/>
      <x:c r="L79" t="str">
        <x:v>NOT VERIFIED</x:v>
      </x:c>
      <x:c r="M79" t="n">
        <x:f>IF(COUNTIFS('Conference pools'!$A$2:$A$25,D79,'Conference pools'!$D$2:$D$25,"&gt;=0")=0,"",SUMIF('Conference pools'!$A$2:$A$25,D79,'Conference pools'!$D$2:$D$25))</x:f>
        <x:v>0</x:v>
      </x:c>
      <x:c r="N79" t="n">
        <x:f>COUNTIF($D$2:$D$267,D79)</x:f>
        <x:v>18</x:v>
      </x:c>
      <x:c r="O79" t="n">
        <x:f>SUMIF($D$2:$D$267,D79,$J$2:$J$267)</x:f>
        <x:v>1068.7005</x:v>
      </x:c>
      <x:c r="P79" t="n">
        <x:f>IF(OR(NOT(ISNUMBER(M79)),O79=0),"",M79*('Conference pools'!$H$2/N79+'Conference pools'!$H$3*J79/O79))</x:f>
        <x:v>0</x:v>
      </x:c>
      <x:c r="Q79" t="n">
        <x:f>IF(COUNTIFS($E$2:$E$267,E79,$X$2:$X$267,"&lt;&gt;")&lt;&gt;COUNTIF($E$2:$E$267,E79),"",SUMIF($E$2:$E$267,E79,$X$2:$X$267))</x:f>
        <x:v>0</x:v>
      </x:c>
      <x:c r="R79" t="n">
        <x:f>COUNTIF($E$2:$E$267,E79)</x:f>
        <x:v>10</x:v>
      </x:c>
      <x:c r="S79" t="n">
        <x:f>SUMIF($E$2:$E$267,E79,$J$2:$J$267)</x:f>
        <x:v>464.2383</x:v>
      </x:c>
      <x:c r="T79" t="n">
        <x:f>IF(OR(NOT(ISNUMBER(Q79)),S79=0),"",Q79*('Conference pools'!$H$2/R79+'Conference pools'!$H$3*J79/S79))</x:f>
        <x:v>0</x:v>
      </x:c>
      <x:c r="U79" t="n">
        <x:f>IF(OR(NOT(ISNUMBER(P79)),NOT(ISNUMBER(T79))),"",T79-P79)</x:f>
        <x:v>0</x:v>
      </x:c>
      <x:c r="V79" s="8" t="str">
        <x:f>IF(OR(NOT(ISNUMBER(U79)),P79=0),"",U79/P79)</x:f>
      </x:c>
      <x:c r="W79" t="str">
        <x:f>IF(OR(NOT(ISNUMBER(T79)),NOT(ISNUMBER(K79))),"",T79-K79)</x:f>
      </x:c>
      <x:c r="X79" t="n">
        <x:f>IF(NOT(ISNUMBER(M79)),"",M79/N79)</x:f>
        <x:v>0</x:v>
      </x:c>
    </x:row>
    <x:row r="80">
      <x:c r="A80" t="str">
        <x:v>BOSTON_COLLEGE</x:v>
      </x:c>
      <x:c r="B80" t="str">
        <x:v>Boston College</x:v>
      </x:c>
      <x:c r="C80" t="str">
        <x:v>FBS</x:v>
      </x:c>
      <x:c r="D80" t="str">
        <x:v>Atlantic Coast Conference</x:v>
      </x:c>
      <x:c r="E80" t="str">
        <x:v>National Atlantic</x:v>
      </x:c>
      <x:c r="F80" t="n">
        <x:v>7</x:v>
      </x:c>
      <x:c r="G80" t="n">
        <x:v>0.396</x:v>
      </x:c>
      <x:c r="H80" t="n">
        <x:v>0.5404</x:v>
      </x:c>
      <x:c r="I80" t="n">
        <x:v>48.5706</x:v>
      </x:c>
      <x:c r="J80" t="n">
        <x:f>IF(ISNUMBER(I80),MAX(1,I80),1)</x:f>
        <x:v>48.5706</x:v>
      </x:c>
      <x:c r="K80"/>
      <x:c r="L80" t="str">
        <x:v>NOT VERIFIED</x:v>
      </x:c>
      <x:c r="M80" t="n">
        <x:f>IF(COUNTIFS('Conference pools'!$A$2:$A$25,D80,'Conference pools'!$D$2:$D$25,"&gt;=0")=0,"",SUMIF('Conference pools'!$A$2:$A$25,D80,'Conference pools'!$D$2:$D$25))</x:f>
        <x:v>0</x:v>
      </x:c>
      <x:c r="N80" t="n">
        <x:f>COUNTIF($D$2:$D$267,D80)</x:f>
        <x:v>17</x:v>
      </x:c>
      <x:c r="O80" t="n">
        <x:f>SUMIF($D$2:$D$267,D80,$J$2:$J$267)</x:f>
        <x:v>952.8619000000001</x:v>
      </x:c>
      <x:c r="P80" t="n">
        <x:f>IF(OR(NOT(ISNUMBER(M80)),O80=0),"",M80*('Conference pools'!$H$2/N80+'Conference pools'!$H$3*J80/O80))</x:f>
        <x:v>0</x:v>
      </x:c>
      <x:c r="Q80" t="n">
        <x:f>IF(COUNTIFS($E$2:$E$267,E80,$X$2:$X$267,"&lt;&gt;")&lt;&gt;COUNTIF($E$2:$E$267,E80),"",SUMIF($E$2:$E$267,E80,$X$2:$X$267))</x:f>
        <x:v>0</x:v>
      </x:c>
      <x:c r="R80" t="n">
        <x:f>COUNTIF($E$2:$E$267,E80)</x:f>
        <x:v>10</x:v>
      </x:c>
      <x:c r="S80" t="n">
        <x:f>SUMIF($E$2:$E$267,E80,$J$2:$J$267)</x:f>
        <x:v>464.2383</x:v>
      </x:c>
      <x:c r="T80" t="n">
        <x:f>IF(OR(NOT(ISNUMBER(Q80)),S80=0),"",Q80*('Conference pools'!$H$2/R80+'Conference pools'!$H$3*J80/S80))</x:f>
        <x:v>0</x:v>
      </x:c>
      <x:c r="U80" t="n">
        <x:f>IF(OR(NOT(ISNUMBER(P80)),NOT(ISNUMBER(T80))),"",T80-P80)</x:f>
        <x:v>0</x:v>
      </x:c>
      <x:c r="V80" s="8" t="str">
        <x:f>IF(OR(NOT(ISNUMBER(U80)),P80=0),"",U80/P80)</x:f>
      </x:c>
      <x:c r="W80" t="str">
        <x:f>IF(OR(NOT(ISNUMBER(T80)),NOT(ISNUMBER(K80))),"",T80-K80)</x:f>
      </x:c>
      <x:c r="X80" t="n">
        <x:f>IF(NOT(ISNUMBER(M80)),"",M80/N80)</x:f>
        <x:v>0</x:v>
      </x:c>
    </x:row>
    <x:row r="81">
      <x:c r="A81" t="str">
        <x:v>TEMPLE</x:v>
      </x:c>
      <x:c r="B81" t="str">
        <x:v>Temple University</x:v>
      </x:c>
      <x:c r="C81" t="str">
        <x:v>FBS</x:v>
      </x:c>
      <x:c r="D81" t="str">
        <x:v>American Athletic</x:v>
      </x:c>
      <x:c r="E81" t="str">
        <x:v>National Atlantic</x:v>
      </x:c>
      <x:c r="F81" t="n">
        <x:v>14</x:v>
      </x:c>
      <x:c r="G81" t="n">
        <x:v>0.317</x:v>
      </x:c>
      <x:c r="H81" t="n">
        <x:v>0.5239</x:v>
      </x:c>
      <x:c r="I81" t="n">
        <x:v>41.9066</x:v>
      </x:c>
      <x:c r="J81" t="n">
        <x:f>IF(ISNUMBER(I81),MAX(1,I81),1)</x:f>
        <x:v>41.9066</x:v>
      </x:c>
      <x:c r="K81"/>
      <x:c r="L81" t="str">
        <x:v>NOT VERIFIED</x:v>
      </x:c>
      <x:c r="M81" t="n">
        <x:f>IF(COUNTIFS('Conference pools'!$A$2:$A$25,D81,'Conference pools'!$D$2:$D$25,"&gt;=0")=0,"",SUMIF('Conference pools'!$A$2:$A$25,D81,'Conference pools'!$D$2:$D$25))</x:f>
        <x:v>0</x:v>
      </x:c>
      <x:c r="N81" t="n">
        <x:f>COUNTIF($D$2:$D$267,D81)</x:f>
        <x:v>14</x:v>
      </x:c>
      <x:c r="O81" t="n">
        <x:f>SUMIF($D$2:$D$267,D81,$J$2:$J$267)</x:f>
        <x:v>720.9868000000001</x:v>
      </x:c>
      <x:c r="P81" t="n">
        <x:f>IF(OR(NOT(ISNUMBER(M81)),O81=0),"",M81*('Conference pools'!$H$2/N81+'Conference pools'!$H$3*J81/O81))</x:f>
        <x:v>0</x:v>
      </x:c>
      <x:c r="Q81" t="n">
        <x:f>IF(COUNTIFS($E$2:$E$267,E81,$X$2:$X$267,"&lt;&gt;")&lt;&gt;COUNTIF($E$2:$E$267,E81),"",SUMIF($E$2:$E$267,E81,$X$2:$X$267))</x:f>
        <x:v>0</x:v>
      </x:c>
      <x:c r="R81" t="n">
        <x:f>COUNTIF($E$2:$E$267,E81)</x:f>
        <x:v>10</x:v>
      </x:c>
      <x:c r="S81" t="n">
        <x:f>SUMIF($E$2:$E$267,E81,$J$2:$J$267)</x:f>
        <x:v>464.2383</x:v>
      </x:c>
      <x:c r="T81" t="n">
        <x:f>IF(OR(NOT(ISNUMBER(Q81)),S81=0),"",Q81*('Conference pools'!$H$2/R81+'Conference pools'!$H$3*J81/S81))</x:f>
        <x:v>0</x:v>
      </x:c>
      <x:c r="U81" t="n">
        <x:f>IF(OR(NOT(ISNUMBER(P81)),NOT(ISNUMBER(T81))),"",T81-P81)</x:f>
        <x:v>0</x:v>
      </x:c>
      <x:c r="V81" s="8" t="str">
        <x:f>IF(OR(NOT(ISNUMBER(U81)),P81=0),"",U81/P81)</x:f>
      </x:c>
      <x:c r="W81" t="str">
        <x:f>IF(OR(NOT(ISNUMBER(T81)),NOT(ISNUMBER(K81))),"",T81-K81)</x:f>
      </x:c>
      <x:c r="X81" t="n">
        <x:f>IF(NOT(ISNUMBER(M81)),"",M81/N81)</x:f>
        <x:v>0</x:v>
      </x:c>
    </x:row>
    <x:row r="82">
      <x:c r="A82" t="str">
        <x:v>KENT_STATE</x:v>
      </x:c>
      <x:c r="B82" t="str">
        <x:v>Kent State University</x:v>
      </x:c>
      <x:c r="C82" t="str">
        <x:v>FBS</x:v>
      </x:c>
      <x:c r="D82" t="str">
        <x:v>Mid-American</x:v>
      </x:c>
      <x:c r="E82" t="str">
        <x:v>National Atlantic</x:v>
      </x:c>
      <x:c r="F82" t="n">
        <x:v>25</x:v>
      </x:c>
      <x:c r="G82" t="n">
        <x:v>0.1887</x:v>
      </x:c>
      <x:c r="H82" t="n">
        <x:v>0.4849</x:v>
      </x:c>
      <x:c r="I82" t="n">
        <x:v>34.234</x:v>
      </x:c>
      <x:c r="J82" t="n">
        <x:f>IF(ISNUMBER(I82),MAX(1,I82),1)</x:f>
        <x:v>34.234</x:v>
      </x:c>
      <x:c r="K82"/>
      <x:c r="L82" t="str">
        <x:v>NOT VERIFIED</x:v>
      </x:c>
      <x:c r="M82" t="n">
        <x:f>IF(COUNTIFS('Conference pools'!$A$2:$A$25,D82,'Conference pools'!$D$2:$D$25,"&gt;=0")=0,"",SUMIF('Conference pools'!$A$2:$A$25,D82,'Conference pools'!$D$2:$D$25))</x:f>
        <x:v>0</x:v>
      </x:c>
      <x:c r="N82" t="n">
        <x:f>COUNTIF($D$2:$D$267,D82)</x:f>
        <x:v>13</x:v>
      </x:c>
      <x:c r="O82" t="n">
        <x:f>SUMIF($D$2:$D$267,D82,$J$2:$J$267)</x:f>
        <x:v>612.9399999999998</x:v>
      </x:c>
      <x:c r="P82" t="n">
        <x:f>IF(OR(NOT(ISNUMBER(M82)),O82=0),"",M82*('Conference pools'!$H$2/N82+'Conference pools'!$H$3*J82/O82))</x:f>
        <x:v>0</x:v>
      </x:c>
      <x:c r="Q82" t="n">
        <x:f>IF(COUNTIFS($E$2:$E$267,E82,$X$2:$X$267,"&lt;&gt;")&lt;&gt;COUNTIF($E$2:$E$267,E82),"",SUMIF($E$2:$E$267,E82,$X$2:$X$267))</x:f>
        <x:v>0</x:v>
      </x:c>
      <x:c r="R82" t="n">
        <x:f>COUNTIF($E$2:$E$267,E82)</x:f>
        <x:v>10</x:v>
      </x:c>
      <x:c r="S82" t="n">
        <x:f>SUMIF($E$2:$E$267,E82,$J$2:$J$267)</x:f>
        <x:v>464.2383</x:v>
      </x:c>
      <x:c r="T82" t="n">
        <x:f>IF(OR(NOT(ISNUMBER(Q82)),S82=0),"",Q82*('Conference pools'!$H$2/R82+'Conference pools'!$H$3*J82/S82))</x:f>
        <x:v>0</x:v>
      </x:c>
      <x:c r="U82" t="n">
        <x:f>IF(OR(NOT(ISNUMBER(P82)),NOT(ISNUMBER(T82))),"",T82-P82)</x:f>
        <x:v>0</x:v>
      </x:c>
      <x:c r="V82" s="8" t="str">
        <x:f>IF(OR(NOT(ISNUMBER(U82)),P82=0),"",U82/P82)</x:f>
      </x:c>
      <x:c r="W82" t="str">
        <x:f>IF(OR(NOT(ISNUMBER(T82)),NOT(ISNUMBER(K82))),"",T82-K82)</x:f>
      </x:c>
      <x:c r="X82" t="n">
        <x:f>IF(NOT(ISNUMBER(M82)),"",M82/N82)</x:f>
        <x:v>0</x:v>
      </x:c>
    </x:row>
    <x:row r="83">
      <x:c r="A83" t="str">
        <x:v>UMASS</x:v>
      </x:c>
      <x:c r="B83" t="str">
        <x:v>University of Massachusetts Amherst</x:v>
      </x:c>
      <x:c r="C83" t="str">
        <x:v>FBS</x:v>
      </x:c>
      <x:c r="D83" t="str">
        <x:v>Mid-American</x:v>
      </x:c>
      <x:c r="E83" t="str">
        <x:v>National Atlantic</x:v>
      </x:c>
      <x:c r="F83" t="n">
        <x:v>29</x:v>
      </x:c>
      <x:c r="G83" t="n">
        <x:v>0.1207</x:v>
      </x:c>
      <x:c r="H83" t="n">
        <x:v>0.5367</x:v>
      </x:c>
      <x:c r="I83" t="n">
        <x:v>30.4473</x:v>
      </x:c>
      <x:c r="J83" t="n">
        <x:f>IF(ISNUMBER(I83),MAX(1,I83),1)</x:f>
        <x:v>30.4473</x:v>
      </x:c>
      <x:c r="K83"/>
      <x:c r="L83" t="str">
        <x:v>NOT VERIFIED</x:v>
      </x:c>
      <x:c r="M83" t="n">
        <x:f>IF(COUNTIFS('Conference pools'!$A$2:$A$25,D83,'Conference pools'!$D$2:$D$25,"&gt;=0")=0,"",SUMIF('Conference pools'!$A$2:$A$25,D83,'Conference pools'!$D$2:$D$25))</x:f>
        <x:v>0</x:v>
      </x:c>
      <x:c r="N83" t="n">
        <x:f>COUNTIF($D$2:$D$267,D83)</x:f>
        <x:v>13</x:v>
      </x:c>
      <x:c r="O83" t="n">
        <x:f>SUMIF($D$2:$D$267,D83,$J$2:$J$267)</x:f>
        <x:v>612.9399999999998</x:v>
      </x:c>
      <x:c r="P83" t="n">
        <x:f>IF(OR(NOT(ISNUMBER(M83)),O83=0),"",M83*('Conference pools'!$H$2/N83+'Conference pools'!$H$3*J83/O83))</x:f>
        <x:v>0</x:v>
      </x:c>
      <x:c r="Q83" t="n">
        <x:f>IF(COUNTIFS($E$2:$E$267,E83,$X$2:$X$267,"&lt;&gt;")&lt;&gt;COUNTIF($E$2:$E$267,E83),"",SUMIF($E$2:$E$267,E83,$X$2:$X$267))</x:f>
        <x:v>0</x:v>
      </x:c>
      <x:c r="R83" t="n">
        <x:f>COUNTIF($E$2:$E$267,E83)</x:f>
        <x:v>10</x:v>
      </x:c>
      <x:c r="S83" t="n">
        <x:f>SUMIF($E$2:$E$267,E83,$J$2:$J$267)</x:f>
        <x:v>464.2383</x:v>
      </x:c>
      <x:c r="T83" t="n">
        <x:f>IF(OR(NOT(ISNUMBER(Q83)),S83=0),"",Q83*('Conference pools'!$H$2/R83+'Conference pools'!$H$3*J83/S83))</x:f>
        <x:v>0</x:v>
      </x:c>
      <x:c r="U83" t="n">
        <x:f>IF(OR(NOT(ISNUMBER(P83)),NOT(ISNUMBER(T83))),"",T83-P83)</x:f>
        <x:v>0</x:v>
      </x:c>
      <x:c r="V83" s="8" t="str">
        <x:f>IF(OR(NOT(ISNUMBER(U83)),P83=0),"",U83/P83)</x:f>
      </x:c>
      <x:c r="W83" t="str">
        <x:f>IF(OR(NOT(ISNUMBER(T83)),NOT(ISNUMBER(K83))),"",T83-K83)</x:f>
      </x:c>
      <x:c r="X83" t="n">
        <x:f>IF(NOT(ISNUMBER(M83)),"",M83/N83)</x:f>
        <x:v>0</x:v>
      </x:c>
    </x:row>
    <x:row r="84">
      <x:c r="A84" t="str">
        <x:v>CINCINNATI</x:v>
      </x:c>
      <x:c r="B84" t="str">
        <x:v>University of Cincinnati</x:v>
      </x:c>
      <x:c r="C84" t="str">
        <x:v>FBS</x:v>
      </x:c>
      <x:c r="D84" t="str">
        <x:v>Big 12</x:v>
      </x:c>
      <x:c r="E84" t="str">
        <x:v>National Great Lakes</x:v>
      </x:c>
      <x:c r="F84" t="n">
        <x:v>5</x:v>
      </x:c>
      <x:c r="G84" t="n">
        <x:v>0.4272</x:v>
      </x:c>
      <x:c r="H84" t="n">
        <x:v>0.5521</x:v>
      </x:c>
      <x:c r="I84" t="n">
        <x:v>52.4152</x:v>
      </x:c>
      <x:c r="J84" t="n">
        <x:f>IF(ISNUMBER(I84),MAX(1,I84),1)</x:f>
        <x:v>52.4152</x:v>
      </x:c>
      <x:c r="K84"/>
      <x:c r="L84" t="str">
        <x:v>NOT VERIFIED</x:v>
      </x:c>
      <x:c r="M84" t="n">
        <x:f>IF(COUNTIFS('Conference pools'!$A$2:$A$25,D84,'Conference pools'!$D$2:$D$25,"&gt;=0")=0,"",SUMIF('Conference pools'!$A$2:$A$25,D84,'Conference pools'!$D$2:$D$25))</x:f>
        <x:v>0</x:v>
      </x:c>
      <x:c r="N84" t="n">
        <x:f>COUNTIF($D$2:$D$267,D84)</x:f>
        <x:v>16</x:v>
      </x:c>
      <x:c r="O84" t="n">
        <x:f>SUMIF($D$2:$D$267,D84,$J$2:$J$267)</x:f>
        <x:v>905.6582</x:v>
      </x:c>
      <x:c r="P84" t="n">
        <x:f>IF(OR(NOT(ISNUMBER(M84)),O84=0),"",M84*('Conference pools'!$H$2/N84+'Conference pools'!$H$3*J84/O84))</x:f>
        <x:v>0</x:v>
      </x:c>
      <x:c r="Q84" t="n">
        <x:f>IF(COUNTIFS($E$2:$E$267,E84,$X$2:$X$267,"&lt;&gt;")&lt;&gt;COUNTIF($E$2:$E$267,E84),"",SUMIF($E$2:$E$267,E84,$X$2:$X$267))</x:f>
        <x:v>0</x:v>
      </x:c>
      <x:c r="R84" t="n">
        <x:f>COUNTIF($E$2:$E$267,E84)</x:f>
        <x:v>11</x:v>
      </x:c>
      <x:c r="S84" t="n">
        <x:f>SUMIF($E$2:$E$267,E84,$J$2:$J$267)</x:f>
        <x:v>517.5452999999999</x:v>
      </x:c>
      <x:c r="T84" t="n">
        <x:f>IF(OR(NOT(ISNUMBER(Q84)),S84=0),"",Q84*('Conference pools'!$H$2/R84+'Conference pools'!$H$3*J84/S84))</x:f>
        <x:v>0</x:v>
      </x:c>
      <x:c r="U84" t="n">
        <x:f>IF(OR(NOT(ISNUMBER(P84)),NOT(ISNUMBER(T84))),"",T84-P84)</x:f>
        <x:v>0</x:v>
      </x:c>
      <x:c r="V84" s="8" t="str">
        <x:f>IF(OR(NOT(ISNUMBER(U84)),P84=0),"",U84/P84)</x:f>
      </x:c>
      <x:c r="W84" t="str">
        <x:f>IF(OR(NOT(ISNUMBER(T84)),NOT(ISNUMBER(K84))),"",T84-K84)</x:f>
      </x:c>
      <x:c r="X84" t="n">
        <x:f>IF(NOT(ISNUMBER(M84)),"",M84/N84)</x:f>
        <x:v>0</x:v>
      </x:c>
    </x:row>
    <x:row r="85">
      <x:c r="A85" t="str">
        <x:v>BOWLING_GREEN</x:v>
      </x:c>
      <x:c r="B85" t="str">
        <x:v>Bowling Green State University</x:v>
      </x:c>
      <x:c r="C85" t="str">
        <x:v>FBS</x:v>
      </x:c>
      <x:c r="D85" t="str">
        <x:v>Mid-American</x:v>
      </x:c>
      <x:c r="E85" t="str">
        <x:v>National Great Lakes</x:v>
      </x:c>
      <x:c r="F85" t="n">
        <x:v>7</x:v>
      </x:c>
      <x:c r="G85" t="n">
        <x:v>0.4599</x:v>
      </x:c>
      <x:c r="H85" t="n">
        <x:v>0.4854</x:v>
      </x:c>
      <x:c r="I85" t="n">
        <x:v>48.6874</x:v>
      </x:c>
      <x:c r="J85" t="n">
        <x:f>IF(ISNUMBER(I85),MAX(1,I85),1)</x:f>
        <x:v>48.6874</x:v>
      </x:c>
      <x:c r="K85"/>
      <x:c r="L85" t="str">
        <x:v>NOT VERIFIED</x:v>
      </x:c>
      <x:c r="M85" t="n">
        <x:f>IF(COUNTIFS('Conference pools'!$A$2:$A$25,D85,'Conference pools'!$D$2:$D$25,"&gt;=0")=0,"",SUMIF('Conference pools'!$A$2:$A$25,D85,'Conference pools'!$D$2:$D$25))</x:f>
        <x:v>0</x:v>
      </x:c>
      <x:c r="N85" t="n">
        <x:f>COUNTIF($D$2:$D$267,D85)</x:f>
        <x:v>13</x:v>
      </x:c>
      <x:c r="O85" t="n">
        <x:f>SUMIF($D$2:$D$267,D85,$J$2:$J$267)</x:f>
        <x:v>612.9399999999998</x:v>
      </x:c>
      <x:c r="P85" t="n">
        <x:f>IF(OR(NOT(ISNUMBER(M85)),O85=0),"",M85*('Conference pools'!$H$2/N85+'Conference pools'!$H$3*J85/O85))</x:f>
        <x:v>0</x:v>
      </x:c>
      <x:c r="Q85" t="n">
        <x:f>IF(COUNTIFS($E$2:$E$267,E85,$X$2:$X$267,"&lt;&gt;")&lt;&gt;COUNTIF($E$2:$E$267,E85),"",SUMIF($E$2:$E$267,E85,$X$2:$X$267))</x:f>
        <x:v>0</x:v>
      </x:c>
      <x:c r="R85" t="n">
        <x:f>COUNTIF($E$2:$E$267,E85)</x:f>
        <x:v>11</x:v>
      </x:c>
      <x:c r="S85" t="n">
        <x:f>SUMIF($E$2:$E$267,E85,$J$2:$J$267)</x:f>
        <x:v>517.5452999999999</x:v>
      </x:c>
      <x:c r="T85" t="n">
        <x:f>IF(OR(NOT(ISNUMBER(Q85)),S85=0),"",Q85*('Conference pools'!$H$2/R85+'Conference pools'!$H$3*J85/S85))</x:f>
        <x:v>0</x:v>
      </x:c>
      <x:c r="U85" t="n">
        <x:f>IF(OR(NOT(ISNUMBER(P85)),NOT(ISNUMBER(T85))),"",T85-P85)</x:f>
        <x:v>0</x:v>
      </x:c>
      <x:c r="V85" s="8" t="str">
        <x:f>IF(OR(NOT(ISNUMBER(U85)),P85=0),"",U85/P85)</x:f>
      </x:c>
      <x:c r="W85" t="str">
        <x:f>IF(OR(NOT(ISNUMBER(T85)),NOT(ISNUMBER(K85))),"",T85-K85)</x:f>
      </x:c>
      <x:c r="X85" t="n">
        <x:f>IF(NOT(ISNUMBER(M85)),"",M85/N85)</x:f>
        <x:v>0</x:v>
      </x:c>
    </x:row>
    <x:row r="86">
      <x:c r="A86" t="str">
        <x:v>NORTHWESTERN</x:v>
      </x:c>
      <x:c r="B86" t="str">
        <x:v>Northwestern University</x:v>
      </x:c>
      <x:c r="C86" t="str">
        <x:v>FBS</x:v>
      </x:c>
      <x:c r="D86" t="str">
        <x:v>Big Ten</x:v>
      </x:c>
      <x:c r="E86" t="str">
        <x:v>National Great Lakes</x:v>
      </x:c>
      <x:c r="F86" t="n">
        <x:v>5</x:v>
      </x:c>
      <x:c r="G86" t="n">
        <x:v>0.4914</x:v>
      </x:c>
      <x:c r="H86" t="n">
        <x:v>0.5367</x:v>
      </x:c>
      <x:c r="I86" t="n">
        <x:v>51.7324</x:v>
      </x:c>
      <x:c r="J86" t="n">
        <x:f>IF(ISNUMBER(I86),MAX(1,I86),1)</x:f>
        <x:v>51.7324</x:v>
      </x:c>
      <x:c r="K86"/>
      <x:c r="L86" t="str">
        <x:v>NOT VERIFIED</x:v>
      </x:c>
      <x:c r="M86" t="n">
        <x:f>IF(COUNTIFS('Conference pools'!$A$2:$A$25,D86,'Conference pools'!$D$2:$D$25,"&gt;=0")=0,"",SUMIF('Conference pools'!$A$2:$A$25,D86,'Conference pools'!$D$2:$D$25))</x:f>
        <x:v>0</x:v>
      </x:c>
      <x:c r="N86" t="n">
        <x:f>COUNTIF($D$2:$D$267,D86)</x:f>
        <x:v>18</x:v>
      </x:c>
      <x:c r="O86" t="n">
        <x:f>SUMIF($D$2:$D$267,D86,$J$2:$J$267)</x:f>
        <x:v>1068.7005</x:v>
      </x:c>
      <x:c r="P86" t="n">
        <x:f>IF(OR(NOT(ISNUMBER(M86)),O86=0),"",M86*('Conference pools'!$H$2/N86+'Conference pools'!$H$3*J86/O86))</x:f>
        <x:v>0</x:v>
      </x:c>
      <x:c r="Q86" t="n">
        <x:f>IF(COUNTIFS($E$2:$E$267,E86,$X$2:$X$267,"&lt;&gt;")&lt;&gt;COUNTIF($E$2:$E$267,E86),"",SUMIF($E$2:$E$267,E86,$X$2:$X$267))</x:f>
        <x:v>0</x:v>
      </x:c>
      <x:c r="R86" t="n">
        <x:f>COUNTIF($E$2:$E$267,E86)</x:f>
        <x:v>11</x:v>
      </x:c>
      <x:c r="S86" t="n">
        <x:f>SUMIF($E$2:$E$267,E86,$J$2:$J$267)</x:f>
        <x:v>517.5452999999999</x:v>
      </x:c>
      <x:c r="T86" t="n">
        <x:f>IF(OR(NOT(ISNUMBER(Q86)),S86=0),"",Q86*('Conference pools'!$H$2/R86+'Conference pools'!$H$3*J86/S86))</x:f>
        <x:v>0</x:v>
      </x:c>
      <x:c r="U86" t="n">
        <x:f>IF(OR(NOT(ISNUMBER(P86)),NOT(ISNUMBER(T86))),"",T86-P86)</x:f>
        <x:v>0</x:v>
      </x:c>
      <x:c r="V86" s="8" t="str">
        <x:f>IF(OR(NOT(ISNUMBER(U86)),P86=0),"",U86/P86)</x:f>
      </x:c>
      <x:c r="W86" t="str">
        <x:f>IF(OR(NOT(ISNUMBER(T86)),NOT(ISNUMBER(K86))),"",T86-K86)</x:f>
      </x:c>
      <x:c r="X86" t="n">
        <x:f>IF(NOT(ISNUMBER(M86)),"",M86/N86)</x:f>
        <x:v>0</x:v>
      </x:c>
    </x:row>
    <x:row r="87">
      <x:c r="A87" t="str">
        <x:v>EASTERN_MICHIGAN</x:v>
      </x:c>
      <x:c r="B87" t="str">
        <x:v>Eastern Michigan University</x:v>
      </x:c>
      <x:c r="C87" t="str">
        <x:v>FBS</x:v>
      </x:c>
      <x:c r="D87" t="str">
        <x:v>Mid-American</x:v>
      </x:c>
      <x:c r="E87" t="str">
        <x:v>National Great Lakes</x:v>
      </x:c>
      <x:c r="F87" t="n">
        <x:v>11</x:v>
      </x:c>
      <x:c r="G87" t="n">
        <x:v>0.3959</x:v>
      </x:c>
      <x:c r="H87" t="n">
        <x:v>0.4522</x:v>
      </x:c>
      <x:c r="I87" t="n">
        <x:v>44.4561</x:v>
      </x:c>
      <x:c r="J87" t="n">
        <x:f>IF(ISNUMBER(I87),MAX(1,I87),1)</x:f>
        <x:v>44.4561</x:v>
      </x:c>
      <x:c r="K87"/>
      <x:c r="L87" t="str">
        <x:v>NOT VERIFIED</x:v>
      </x:c>
      <x:c r="M87" t="n">
        <x:f>IF(COUNTIFS('Conference pools'!$A$2:$A$25,D87,'Conference pools'!$D$2:$D$25,"&gt;=0")=0,"",SUMIF('Conference pools'!$A$2:$A$25,D87,'Conference pools'!$D$2:$D$25))</x:f>
        <x:v>0</x:v>
      </x:c>
      <x:c r="N87" t="n">
        <x:f>COUNTIF($D$2:$D$267,D87)</x:f>
        <x:v>13</x:v>
      </x:c>
      <x:c r="O87" t="n">
        <x:f>SUMIF($D$2:$D$267,D87,$J$2:$J$267)</x:f>
        <x:v>612.9399999999998</x:v>
      </x:c>
      <x:c r="P87" t="n">
        <x:f>IF(OR(NOT(ISNUMBER(M87)),O87=0),"",M87*('Conference pools'!$H$2/N87+'Conference pools'!$H$3*J87/O87))</x:f>
        <x:v>0</x:v>
      </x:c>
      <x:c r="Q87" t="n">
        <x:f>IF(COUNTIFS($E$2:$E$267,E87,$X$2:$X$267,"&lt;&gt;")&lt;&gt;COUNTIF($E$2:$E$267,E87),"",SUMIF($E$2:$E$267,E87,$X$2:$X$267))</x:f>
        <x:v>0</x:v>
      </x:c>
      <x:c r="R87" t="n">
        <x:f>COUNTIF($E$2:$E$267,E87)</x:f>
        <x:v>11</x:v>
      </x:c>
      <x:c r="S87" t="n">
        <x:f>SUMIF($E$2:$E$267,E87,$J$2:$J$267)</x:f>
        <x:v>517.5452999999999</x:v>
      </x:c>
      <x:c r="T87" t="n">
        <x:f>IF(OR(NOT(ISNUMBER(Q87)),S87=0),"",Q87*('Conference pools'!$H$2/R87+'Conference pools'!$H$3*J87/S87))</x:f>
        <x:v>0</x:v>
      </x:c>
      <x:c r="U87" t="n">
        <x:f>IF(OR(NOT(ISNUMBER(P87)),NOT(ISNUMBER(T87))),"",T87-P87)</x:f>
        <x:v>0</x:v>
      </x:c>
      <x:c r="V87" s="8" t="str">
        <x:f>IF(OR(NOT(ISNUMBER(U87)),P87=0),"",U87/P87)</x:f>
      </x:c>
      <x:c r="W87" t="str">
        <x:f>IF(OR(NOT(ISNUMBER(T87)),NOT(ISNUMBER(K87))),"",T87-K87)</x:f>
      </x:c>
      <x:c r="X87" t="n">
        <x:f>IF(NOT(ISNUMBER(M87)),"",M87/N87)</x:f>
        <x:v>0</x:v>
      </x:c>
    </x:row>
    <x:row r="88">
      <x:c r="A88" t="str">
        <x:v>WISCONSIN</x:v>
      </x:c>
      <x:c r="B88" t="str">
        <x:v>University of Wisconsin Madison</x:v>
      </x:c>
      <x:c r="C88" t="str">
        <x:v>FBS</x:v>
      </x:c>
      <x:c r="D88" t="str">
        <x:v>Big Ten</x:v>
      </x:c>
      <x:c r="E88" t="str">
        <x:v>National Great Lakes</x:v>
      </x:c>
      <x:c r="F88" t="n">
        <x:v>4</x:v>
      </x:c>
      <x:c r="G88" t="n">
        <x:v>0.4165</x:v>
      </x:c>
      <x:c r="H88" t="n">
        <x:v>0.5895</x:v>
      </x:c>
      <x:c r="I88" t="n">
        <x:v>53.919</x:v>
      </x:c>
      <x:c r="J88" t="n">
        <x:f>IF(ISNUMBER(I88),MAX(1,I88),1)</x:f>
        <x:v>53.919</x:v>
      </x:c>
      <x:c r="K88"/>
      <x:c r="L88" t="str">
        <x:v>NOT VERIFIED</x:v>
      </x:c>
      <x:c r="M88" t="n">
        <x:f>IF(COUNTIFS('Conference pools'!$A$2:$A$25,D88,'Conference pools'!$D$2:$D$25,"&gt;=0")=0,"",SUMIF('Conference pools'!$A$2:$A$25,D88,'Conference pools'!$D$2:$D$25))</x:f>
        <x:v>0</x:v>
      </x:c>
      <x:c r="N88" t="n">
        <x:f>COUNTIF($D$2:$D$267,D88)</x:f>
        <x:v>18</x:v>
      </x:c>
      <x:c r="O88" t="n">
        <x:f>SUMIF($D$2:$D$267,D88,$J$2:$J$267)</x:f>
        <x:v>1068.7005</x:v>
      </x:c>
      <x:c r="P88" t="n">
        <x:f>IF(OR(NOT(ISNUMBER(M88)),O88=0),"",M88*('Conference pools'!$H$2/N88+'Conference pools'!$H$3*J88/O88))</x:f>
        <x:v>0</x:v>
      </x:c>
      <x:c r="Q88" t="n">
        <x:f>IF(COUNTIFS($E$2:$E$267,E88,$X$2:$X$267,"&lt;&gt;")&lt;&gt;COUNTIF($E$2:$E$267,E88),"",SUMIF($E$2:$E$267,E88,$X$2:$X$267))</x:f>
        <x:v>0</x:v>
      </x:c>
      <x:c r="R88" t="n">
        <x:f>COUNTIF($E$2:$E$267,E88)</x:f>
        <x:v>11</x:v>
      </x:c>
      <x:c r="S88" t="n">
        <x:f>SUMIF($E$2:$E$267,E88,$J$2:$J$267)</x:f>
        <x:v>517.5452999999999</x:v>
      </x:c>
      <x:c r="T88" t="n">
        <x:f>IF(OR(NOT(ISNUMBER(Q88)),S88=0),"",Q88*('Conference pools'!$H$2/R88+'Conference pools'!$H$3*J88/S88))</x:f>
        <x:v>0</x:v>
      </x:c>
      <x:c r="U88" t="n">
        <x:f>IF(OR(NOT(ISNUMBER(P88)),NOT(ISNUMBER(T88))),"",T88-P88)</x:f>
        <x:v>0</x:v>
      </x:c>
      <x:c r="V88" s="8" t="str">
        <x:f>IF(OR(NOT(ISNUMBER(U88)),P88=0),"",U88/P88)</x:f>
      </x:c>
      <x:c r="W88" t="str">
        <x:f>IF(OR(NOT(ISNUMBER(T88)),NOT(ISNUMBER(K88))),"",T88-K88)</x:f>
      </x:c>
      <x:c r="X88" t="n">
        <x:f>IF(NOT(ISNUMBER(M88)),"",M88/N88)</x:f>
        <x:v>0</x:v>
      </x:c>
    </x:row>
    <x:row r="89">
      <x:c r="A89" t="str">
        <x:v>CENTRAL_MICHIGAN</x:v>
      </x:c>
      <x:c r="B89" t="str">
        <x:v>Central Michigan University</x:v>
      </x:c>
      <x:c r="C89" t="str">
        <x:v>FBS</x:v>
      </x:c>
      <x:c r="D89" t="str">
        <x:v>Mid-American</x:v>
      </x:c>
      <x:c r="E89" t="str">
        <x:v>National Great Lakes</x:v>
      </x:c>
      <x:c r="F89" t="n">
        <x:v>8</x:v>
      </x:c>
      <x:c r="G89" t="n">
        <x:v>0.4402</x:v>
      </x:c>
      <x:c r="H89" t="n">
        <x:v>0.4784</x:v>
      </x:c>
      <x:c r="I89" t="n">
        <x:v>46.9616</x:v>
      </x:c>
      <x:c r="J89" t="n">
        <x:f>IF(ISNUMBER(I89),MAX(1,I89),1)</x:f>
        <x:v>46.9616</x:v>
      </x:c>
      <x:c r="K89"/>
      <x:c r="L89" t="str">
        <x:v>NOT VERIFIED</x:v>
      </x:c>
      <x:c r="M89" t="n">
        <x:f>IF(COUNTIFS('Conference pools'!$A$2:$A$25,D89,'Conference pools'!$D$2:$D$25,"&gt;=0")=0,"",SUMIF('Conference pools'!$A$2:$A$25,D89,'Conference pools'!$D$2:$D$25))</x:f>
        <x:v>0</x:v>
      </x:c>
      <x:c r="N89" t="n">
        <x:f>COUNTIF($D$2:$D$267,D89)</x:f>
        <x:v>13</x:v>
      </x:c>
      <x:c r="O89" t="n">
        <x:f>SUMIF($D$2:$D$267,D89,$J$2:$J$267)</x:f>
        <x:v>612.9399999999998</x:v>
      </x:c>
      <x:c r="P89" t="n">
        <x:f>IF(OR(NOT(ISNUMBER(M89)),O89=0),"",M89*('Conference pools'!$H$2/N89+'Conference pools'!$H$3*J89/O89))</x:f>
        <x:v>0</x:v>
      </x:c>
      <x:c r="Q89" t="n">
        <x:f>IF(COUNTIFS($E$2:$E$267,E89,$X$2:$X$267,"&lt;&gt;")&lt;&gt;COUNTIF($E$2:$E$267,E89),"",SUMIF($E$2:$E$267,E89,$X$2:$X$267))</x:f>
        <x:v>0</x:v>
      </x:c>
      <x:c r="R89" t="n">
        <x:f>COUNTIF($E$2:$E$267,E89)</x:f>
        <x:v>11</x:v>
      </x:c>
      <x:c r="S89" t="n">
        <x:f>SUMIF($E$2:$E$267,E89,$J$2:$J$267)</x:f>
        <x:v>517.5452999999999</x:v>
      </x:c>
      <x:c r="T89" t="n">
        <x:f>IF(OR(NOT(ISNUMBER(Q89)),S89=0),"",Q89*('Conference pools'!$H$2/R89+'Conference pools'!$H$3*J89/S89))</x:f>
        <x:v>0</x:v>
      </x:c>
      <x:c r="U89" t="n">
        <x:f>IF(OR(NOT(ISNUMBER(P89)),NOT(ISNUMBER(T89))),"",T89-P89)</x:f>
        <x:v>0</x:v>
      </x:c>
      <x:c r="V89" s="8" t="str">
        <x:f>IF(OR(NOT(ISNUMBER(U89)),P89=0),"",U89/P89)</x:f>
      </x:c>
      <x:c r="W89" t="str">
        <x:f>IF(OR(NOT(ISNUMBER(T89)),NOT(ISNUMBER(K89))),"",T89-K89)</x:f>
      </x:c>
      <x:c r="X89" t="n">
        <x:f>IF(NOT(ISNUMBER(M89)),"",M89/N89)</x:f>
        <x:v>0</x:v>
      </x:c>
    </x:row>
    <x:row r="90">
      <x:c r="A90" t="str">
        <x:v>NORTHERN_ILLINOIS</x:v>
      </x:c>
      <x:c r="B90" t="str">
        <x:v>Northern Illinois University</x:v>
      </x:c>
      <x:c r="C90" t="str">
        <x:v>FBS</x:v>
      </x:c>
      <x:c r="D90" t="str">
        <x:v>Mountain West</x:v>
      </x:c>
      <x:c r="E90" t="str">
        <x:v>National Great Lakes</x:v>
      </x:c>
      <x:c r="F90" t="n">
        <x:v>7</x:v>
      </x:c>
      <x:c r="G90" t="n">
        <x:v>0.4553</x:v>
      </x:c>
      <x:c r="H90" t="n">
        <x:v>0.4516</x:v>
      </x:c>
      <x:c r="I90" t="n">
        <x:v>48.66</x:v>
      </x:c>
      <x:c r="J90" t="n">
        <x:f>IF(ISNUMBER(I90),MAX(1,I90),1)</x:f>
        <x:v>48.66</x:v>
      </x:c>
      <x:c r="K90"/>
      <x:c r="L90" t="str">
        <x:v>NOT VERIFIED</x:v>
      </x:c>
      <x:c r="M90" t="n">
        <x:f>IF(COUNTIFS('Conference pools'!$A$2:$A$25,D90,'Conference pools'!$D$2:$D$25,"&gt;=0")=0,"",SUMIF('Conference pools'!$A$2:$A$25,D90,'Conference pools'!$D$2:$D$25))</x:f>
        <x:v>0</x:v>
      </x:c>
      <x:c r="N90" t="n">
        <x:f>COUNTIF($D$2:$D$267,D90)</x:f>
        <x:v>10</x:v>
      </x:c>
      <x:c r="O90" t="n">
        <x:f>SUMIF($D$2:$D$267,D90,$J$2:$J$267)</x:f>
        <x:v>494.2351</x:v>
      </x:c>
      <x:c r="P90" t="n">
        <x:f>IF(OR(NOT(ISNUMBER(M90)),O90=0),"",M90*('Conference pools'!$H$2/N90+'Conference pools'!$H$3*J90/O90))</x:f>
        <x:v>0</x:v>
      </x:c>
      <x:c r="Q90" t="n">
        <x:f>IF(COUNTIFS($E$2:$E$267,E90,$X$2:$X$267,"&lt;&gt;")&lt;&gt;COUNTIF($E$2:$E$267,E90),"",SUMIF($E$2:$E$267,E90,$X$2:$X$267))</x:f>
        <x:v>0</x:v>
      </x:c>
      <x:c r="R90" t="n">
        <x:f>COUNTIF($E$2:$E$267,E90)</x:f>
        <x:v>11</x:v>
      </x:c>
      <x:c r="S90" t="n">
        <x:f>SUMIF($E$2:$E$267,E90,$J$2:$J$267)</x:f>
        <x:v>517.5452999999999</x:v>
      </x:c>
      <x:c r="T90" t="n">
        <x:f>IF(OR(NOT(ISNUMBER(Q90)),S90=0),"",Q90*('Conference pools'!$H$2/R90+'Conference pools'!$H$3*J90/S90))</x:f>
        <x:v>0</x:v>
      </x:c>
      <x:c r="U90" t="n">
        <x:f>IF(OR(NOT(ISNUMBER(P90)),NOT(ISNUMBER(T90))),"",T90-P90)</x:f>
        <x:v>0</x:v>
      </x:c>
      <x:c r="V90" s="8" t="str">
        <x:f>IF(OR(NOT(ISNUMBER(U90)),P90=0),"",U90/P90)</x:f>
      </x:c>
      <x:c r="W90" t="str">
        <x:f>IF(OR(NOT(ISNUMBER(T90)),NOT(ISNUMBER(K90))),"",T90-K90)</x:f>
      </x:c>
      <x:c r="X90" t="n">
        <x:f>IF(NOT(ISNUMBER(M90)),"",M90/N90)</x:f>
        <x:v>0</x:v>
      </x:c>
    </x:row>
    <x:row r="91">
      <x:c r="A91" t="str">
        <x:v>MICHIGAN_STATE</x:v>
      </x:c>
      <x:c r="B91" t="str">
        <x:v>Michigan State University</x:v>
      </x:c>
      <x:c r="C91" t="str">
        <x:v>FBS</x:v>
      </x:c>
      <x:c r="D91" t="str">
        <x:v>Big Ten</x:v>
      </x:c>
      <x:c r="E91" t="str">
        <x:v>National Great Lakes</x:v>
      </x:c>
      <x:c r="F91" t="n">
        <x:v>6</x:v>
      </x:c>
      <x:c r="G91" t="n">
        <x:v>0.3621</x:v>
      </x:c>
      <x:c r="H91" t="n">
        <x:v>0.5866</x:v>
      </x:c>
      <x:c r="I91" t="n">
        <x:v>48.8257</x:v>
      </x:c>
      <x:c r="J91" t="n">
        <x:f>IF(ISNUMBER(I91),MAX(1,I91),1)</x:f>
        <x:v>48.8257</x:v>
      </x:c>
      <x:c r="K91"/>
      <x:c r="L91" t="str">
        <x:v>NOT VERIFIED</x:v>
      </x:c>
      <x:c r="M91" t="n">
        <x:f>IF(COUNTIFS('Conference pools'!$A$2:$A$25,D91,'Conference pools'!$D$2:$D$25,"&gt;=0")=0,"",SUMIF('Conference pools'!$A$2:$A$25,D91,'Conference pools'!$D$2:$D$25))</x:f>
        <x:v>0</x:v>
      </x:c>
      <x:c r="N91" t="n">
        <x:f>COUNTIF($D$2:$D$267,D91)</x:f>
        <x:v>18</x:v>
      </x:c>
      <x:c r="O91" t="n">
        <x:f>SUMIF($D$2:$D$267,D91,$J$2:$J$267)</x:f>
        <x:v>1068.7005</x:v>
      </x:c>
      <x:c r="P91" t="n">
        <x:f>IF(OR(NOT(ISNUMBER(M91)),O91=0),"",M91*('Conference pools'!$H$2/N91+'Conference pools'!$H$3*J91/O91))</x:f>
        <x:v>0</x:v>
      </x:c>
      <x:c r="Q91" t="n">
        <x:f>IF(COUNTIFS($E$2:$E$267,E91,$X$2:$X$267,"&lt;&gt;")&lt;&gt;COUNTIF($E$2:$E$267,E91),"",SUMIF($E$2:$E$267,E91,$X$2:$X$267))</x:f>
        <x:v>0</x:v>
      </x:c>
      <x:c r="R91" t="n">
        <x:f>COUNTIF($E$2:$E$267,E91)</x:f>
        <x:v>11</x:v>
      </x:c>
      <x:c r="S91" t="n">
        <x:f>SUMIF($E$2:$E$267,E91,$J$2:$J$267)</x:f>
        <x:v>517.5452999999999</x:v>
      </x:c>
      <x:c r="T91" t="n">
        <x:f>IF(OR(NOT(ISNUMBER(Q91)),S91=0),"",Q91*('Conference pools'!$H$2/R91+'Conference pools'!$H$3*J91/S91))</x:f>
        <x:v>0</x:v>
      </x:c>
      <x:c r="U91" t="n">
        <x:f>IF(OR(NOT(ISNUMBER(P91)),NOT(ISNUMBER(T91))),"",T91-P91)</x:f>
        <x:v>0</x:v>
      </x:c>
      <x:c r="V91" s="8" t="str">
        <x:f>IF(OR(NOT(ISNUMBER(U91)),P91=0),"",U91/P91)</x:f>
      </x:c>
      <x:c r="W91" t="str">
        <x:f>IF(OR(NOT(ISNUMBER(T91)),NOT(ISNUMBER(K91))),"",T91-K91)</x:f>
      </x:c>
      <x:c r="X91" t="n">
        <x:f>IF(NOT(ISNUMBER(M91)),"",M91/N91)</x:f>
        <x:v>0</x:v>
      </x:c>
    </x:row>
    <x:row r="92">
      <x:c r="A92" t="str">
        <x:v>BALL_STATE</x:v>
      </x:c>
      <x:c r="B92" t="str">
        <x:v>Ball State University</x:v>
      </x:c>
      <x:c r="C92" t="str">
        <x:v>FBS</x:v>
      </x:c>
      <x:c r="D92" t="str">
        <x:v>Mid-American</x:v>
      </x:c>
      <x:c r="E92" t="str">
        <x:v>National Great Lakes</x:v>
      </x:c>
      <x:c r="F92" t="n">
        <x:v>14</x:v>
      </x:c>
      <x:c r="G92" t="n">
        <x:v>0.3046</x:v>
      </x:c>
      <x:c r="H92" t="n">
        <x:v>0.5147</x:v>
      </x:c>
      <x:c r="I92" t="n">
        <x:v>41.3615</x:v>
      </x:c>
      <x:c r="J92" t="n">
        <x:f>IF(ISNUMBER(I92),MAX(1,I92),1)</x:f>
        <x:v>41.3615</x:v>
      </x:c>
      <x:c r="K92"/>
      <x:c r="L92" t="str">
        <x:v>NOT VERIFIED</x:v>
      </x:c>
      <x:c r="M92" t="n">
        <x:f>IF(COUNTIFS('Conference pools'!$A$2:$A$25,D92,'Conference pools'!$D$2:$D$25,"&gt;=0")=0,"",SUMIF('Conference pools'!$A$2:$A$25,D92,'Conference pools'!$D$2:$D$25))</x:f>
        <x:v>0</x:v>
      </x:c>
      <x:c r="N92" t="n">
        <x:f>COUNTIF($D$2:$D$267,D92)</x:f>
        <x:v>13</x:v>
      </x:c>
      <x:c r="O92" t="n">
        <x:f>SUMIF($D$2:$D$267,D92,$J$2:$J$267)</x:f>
        <x:v>612.9399999999998</x:v>
      </x:c>
      <x:c r="P92" t="n">
        <x:f>IF(OR(NOT(ISNUMBER(M92)),O92=0),"",M92*('Conference pools'!$H$2/N92+'Conference pools'!$H$3*J92/O92))</x:f>
        <x:v>0</x:v>
      </x:c>
      <x:c r="Q92" t="n">
        <x:f>IF(COUNTIFS($E$2:$E$267,E92,$X$2:$X$267,"&lt;&gt;")&lt;&gt;COUNTIF($E$2:$E$267,E92),"",SUMIF($E$2:$E$267,E92,$X$2:$X$267))</x:f>
        <x:v>0</x:v>
      </x:c>
      <x:c r="R92" t="n">
        <x:f>COUNTIF($E$2:$E$267,E92)</x:f>
        <x:v>11</x:v>
      </x:c>
      <x:c r="S92" t="n">
        <x:f>SUMIF($E$2:$E$267,E92,$J$2:$J$267)</x:f>
        <x:v>517.5452999999999</x:v>
      </x:c>
      <x:c r="T92" t="n">
        <x:f>IF(OR(NOT(ISNUMBER(Q92)),S92=0),"",Q92*('Conference pools'!$H$2/R92+'Conference pools'!$H$3*J92/S92))</x:f>
        <x:v>0</x:v>
      </x:c>
      <x:c r="U92" t="n">
        <x:f>IF(OR(NOT(ISNUMBER(P92)),NOT(ISNUMBER(T92))),"",T92-P92)</x:f>
        <x:v>0</x:v>
      </x:c>
      <x:c r="V92" s="8" t="str">
        <x:f>IF(OR(NOT(ISNUMBER(U92)),P92=0),"",U92/P92)</x:f>
      </x:c>
      <x:c r="W92" t="str">
        <x:f>IF(OR(NOT(ISNUMBER(T92)),NOT(ISNUMBER(K92))),"",T92-K92)</x:f>
      </x:c>
      <x:c r="X92" t="n">
        <x:f>IF(NOT(ISNUMBER(M92)),"",M92/N92)</x:f>
        <x:v>0</x:v>
      </x:c>
    </x:row>
    <x:row r="93">
      <x:c r="A93" t="str">
        <x:v>AKRON</x:v>
      </x:c>
      <x:c r="B93" t="str">
        <x:v>University of Akron</x:v>
      </x:c>
      <x:c r="C93" t="str">
        <x:v>FBS</x:v>
      </x:c>
      <x:c r="D93" t="str">
        <x:v>Mid-American</x:v>
      </x:c>
      <x:c r="E93" t="str">
        <x:v>National Great Lakes</x:v>
      </x:c>
      <x:c r="F93" t="n">
        <x:v>17</x:v>
      </x:c>
      <x:c r="G93" t="n">
        <x:v>0.3247</x:v>
      </x:c>
      <x:c r="H93" t="n">
        <x:v>0.4608</x:v>
      </x:c>
      <x:c r="I93" t="n">
        <x:v>39.2247</x:v>
      </x:c>
      <x:c r="J93" t="n">
        <x:f>IF(ISNUMBER(I93),MAX(1,I93),1)</x:f>
        <x:v>39.2247</x:v>
      </x:c>
      <x:c r="K93"/>
      <x:c r="L93" t="str">
        <x:v>NOT VERIFIED</x:v>
      </x:c>
      <x:c r="M93" t="n">
        <x:f>IF(COUNTIFS('Conference pools'!$A$2:$A$25,D93,'Conference pools'!$D$2:$D$25,"&gt;=0")=0,"",SUMIF('Conference pools'!$A$2:$A$25,D93,'Conference pools'!$D$2:$D$25))</x:f>
        <x:v>0</x:v>
      </x:c>
      <x:c r="N93" t="n">
        <x:f>COUNTIF($D$2:$D$267,D93)</x:f>
        <x:v>13</x:v>
      </x:c>
      <x:c r="O93" t="n">
        <x:f>SUMIF($D$2:$D$267,D93,$J$2:$J$267)</x:f>
        <x:v>612.9399999999998</x:v>
      </x:c>
      <x:c r="P93" t="n">
        <x:f>IF(OR(NOT(ISNUMBER(M93)),O93=0),"",M93*('Conference pools'!$H$2/N93+'Conference pools'!$H$3*J93/O93))</x:f>
        <x:v>0</x:v>
      </x:c>
      <x:c r="Q93" t="n">
        <x:f>IF(COUNTIFS($E$2:$E$267,E93,$X$2:$X$267,"&lt;&gt;")&lt;&gt;COUNTIF($E$2:$E$267,E93),"",SUMIF($E$2:$E$267,E93,$X$2:$X$267))</x:f>
        <x:v>0</x:v>
      </x:c>
      <x:c r="R93" t="n">
        <x:f>COUNTIF($E$2:$E$267,E93)</x:f>
        <x:v>11</x:v>
      </x:c>
      <x:c r="S93" t="n">
        <x:f>SUMIF($E$2:$E$267,E93,$J$2:$J$267)</x:f>
        <x:v>517.5452999999999</x:v>
      </x:c>
      <x:c r="T93" t="n">
        <x:f>IF(OR(NOT(ISNUMBER(Q93)),S93=0),"",Q93*('Conference pools'!$H$2/R93+'Conference pools'!$H$3*J93/S93))</x:f>
        <x:v>0</x:v>
      </x:c>
      <x:c r="U93" t="n">
        <x:f>IF(OR(NOT(ISNUMBER(P93)),NOT(ISNUMBER(T93))),"",T93-P93)</x:f>
        <x:v>0</x:v>
      </x:c>
      <x:c r="V93" s="8" t="str">
        <x:f>IF(OR(NOT(ISNUMBER(U93)),P93=0),"",U93/P93)</x:f>
      </x:c>
      <x:c r="W93" t="str">
        <x:f>IF(OR(NOT(ISNUMBER(T93)),NOT(ISNUMBER(K93))),"",T93-K93)</x:f>
      </x:c>
      <x:c r="X93" t="n">
        <x:f>IF(NOT(ISNUMBER(M93)),"",M93/N93)</x:f>
        <x:v>0</x:v>
      </x:c>
    </x:row>
    <x:row r="94">
      <x:c r="A94" t="str">
        <x:v>PURDUE</x:v>
      </x:c>
      <x:c r="B94" t="str">
        <x:v>Purdue University</x:v>
      </x:c>
      <x:c r="C94" t="str">
        <x:v>FBS</x:v>
      </x:c>
      <x:c r="D94" t="str">
        <x:v>Big Ten</x:v>
      </x:c>
      <x:c r="E94" t="str">
        <x:v>National Great Lakes</x:v>
      </x:c>
      <x:c r="F94" t="n">
        <x:v>14</x:v>
      </x:c>
      <x:c r="G94" t="n">
        <x:v>0.1801</x:v>
      </x:c>
      <x:c r="H94" t="n">
        <x:v>0.6302</x:v>
      </x:c>
      <x:c r="I94" t="n">
        <x:v>41.3017</x:v>
      </x:c>
      <x:c r="J94" t="n">
        <x:f>IF(ISNUMBER(I94),MAX(1,I94),1)</x:f>
        <x:v>41.3017</x:v>
      </x:c>
      <x:c r="K94"/>
      <x:c r="L94" t="str">
        <x:v>NOT VERIFIED</x:v>
      </x:c>
      <x:c r="M94" t="n">
        <x:f>IF(COUNTIFS('Conference pools'!$A$2:$A$25,D94,'Conference pools'!$D$2:$D$25,"&gt;=0")=0,"",SUMIF('Conference pools'!$A$2:$A$25,D94,'Conference pools'!$D$2:$D$25))</x:f>
        <x:v>0</x:v>
      </x:c>
      <x:c r="N94" t="n">
        <x:f>COUNTIF($D$2:$D$267,D94)</x:f>
        <x:v>18</x:v>
      </x:c>
      <x:c r="O94" t="n">
        <x:f>SUMIF($D$2:$D$267,D94,$J$2:$J$267)</x:f>
        <x:v>1068.7005</x:v>
      </x:c>
      <x:c r="P94" t="n">
        <x:f>IF(OR(NOT(ISNUMBER(M94)),O94=0),"",M94*('Conference pools'!$H$2/N94+'Conference pools'!$H$3*J94/O94))</x:f>
        <x:v>0</x:v>
      </x:c>
      <x:c r="Q94" t="n">
        <x:f>IF(COUNTIFS($E$2:$E$267,E94,$X$2:$X$267,"&lt;&gt;")&lt;&gt;COUNTIF($E$2:$E$267,E94),"",SUMIF($E$2:$E$267,E94,$X$2:$X$267))</x:f>
        <x:v>0</x:v>
      </x:c>
      <x:c r="R94" t="n">
        <x:f>COUNTIF($E$2:$E$267,E94)</x:f>
        <x:v>11</x:v>
      </x:c>
      <x:c r="S94" t="n">
        <x:f>SUMIF($E$2:$E$267,E94,$J$2:$J$267)</x:f>
        <x:v>517.5452999999999</x:v>
      </x:c>
      <x:c r="T94" t="n">
        <x:f>IF(OR(NOT(ISNUMBER(Q94)),S94=0),"",Q94*('Conference pools'!$H$2/R94+'Conference pools'!$H$3*J94/S94))</x:f>
        <x:v>0</x:v>
      </x:c>
      <x:c r="U94" t="n">
        <x:f>IF(OR(NOT(ISNUMBER(P94)),NOT(ISNUMBER(T94))),"",T94-P94)</x:f>
        <x:v>0</x:v>
      </x:c>
      <x:c r="V94" s="8" t="str">
        <x:f>IF(OR(NOT(ISNUMBER(U94)),P94=0),"",U94/P94)</x:f>
      </x:c>
      <x:c r="W94" t="str">
        <x:f>IF(OR(NOT(ISNUMBER(T94)),NOT(ISNUMBER(K94))),"",T94-K94)</x:f>
      </x:c>
      <x:c r="X94" t="n">
        <x:f>IF(NOT(ISNUMBER(M94)),"",M94/N94)</x:f>
        <x:v>0</x:v>
      </x:c>
    </x:row>
    <x:row r="95">
      <x:c r="A95" t="str">
        <x:v>KENTUCKY</x:v>
      </x:c>
      <x:c r="B95" t="str">
        <x:v>University of Kentucky</x:v>
      </x:c>
      <x:c r="C95" t="str">
        <x:v>FBS</x:v>
      </x:c>
      <x:c r="D95" t="str">
        <x:v>Southeastern Conference</x:v>
      </x:c>
      <x:c r="E95" t="str">
        <x:v>National Heartland</x:v>
      </x:c>
      <x:c r="F95" t="n">
        <x:v>4</x:v>
      </x:c>
      <x:c r="G95" t="n">
        <x:v>0.4212</x:v>
      </x:c>
      <x:c r="H95" t="n">
        <x:v>0.5894</x:v>
      </x:c>
      <x:c r="I95" t="n">
        <x:v>52.9053</x:v>
      </x:c>
      <x:c r="J95" t="n">
        <x:f>IF(ISNUMBER(I95),MAX(1,I95),1)</x:f>
        <x:v>52.9053</x:v>
      </x:c>
      <x:c r="K95"/>
      <x:c r="L95" t="str">
        <x:v>NOT VERIFIED</x:v>
      </x:c>
      <x:c r="M95" t="n">
        <x:f>IF(COUNTIFS('Conference pools'!$A$2:$A$25,D95,'Conference pools'!$D$2:$D$25,"&gt;=0")=0,"",SUMIF('Conference pools'!$A$2:$A$25,D95,'Conference pools'!$D$2:$D$25))</x:f>
        <x:v>0</x:v>
      </x:c>
      <x:c r="N95" t="n">
        <x:f>COUNTIF($D$2:$D$267,D95)</x:f>
        <x:v>16</x:v>
      </x:c>
      <x:c r="O95" t="n">
        <x:f>SUMIF($D$2:$D$267,D95,$J$2:$J$267)</x:f>
        <x:v>979.9415</x:v>
      </x:c>
      <x:c r="P95" t="n">
        <x:f>IF(OR(NOT(ISNUMBER(M95)),O95=0),"",M95*('Conference pools'!$H$2/N95+'Conference pools'!$H$3*J95/O95))</x:f>
        <x:v>0</x:v>
      </x:c>
      <x:c r="Q95" t="n">
        <x:f>IF(COUNTIFS($E$2:$E$267,E95,$X$2:$X$267,"&lt;&gt;")&lt;&gt;COUNTIF($E$2:$E$267,E95),"",SUMIF($E$2:$E$267,E95,$X$2:$X$267))</x:f>
        <x:v>0</x:v>
      </x:c>
      <x:c r="R95" t="n">
        <x:f>COUNTIF($E$2:$E$267,E95)</x:f>
        <x:v>11</x:v>
      </x:c>
      <x:c r="S95" t="n">
        <x:f>SUMIF($E$2:$E$267,E95,$J$2:$J$267)</x:f>
        <x:v>506.7764</x:v>
      </x:c>
      <x:c r="T95" t="n">
        <x:f>IF(OR(NOT(ISNUMBER(Q95)),S95=0),"",Q95*('Conference pools'!$H$2/R95+'Conference pools'!$H$3*J95/S95))</x:f>
        <x:v>0</x:v>
      </x:c>
      <x:c r="U95" t="n">
        <x:f>IF(OR(NOT(ISNUMBER(P95)),NOT(ISNUMBER(T95))),"",T95-P95)</x:f>
        <x:v>0</x:v>
      </x:c>
      <x:c r="V95" s="8" t="str">
        <x:f>IF(OR(NOT(ISNUMBER(U95)),P95=0),"",U95/P95)</x:f>
      </x:c>
      <x:c r="W95" t="str">
        <x:f>IF(OR(NOT(ISNUMBER(T95)),NOT(ISNUMBER(K95))),"",T95-K95)</x:f>
      </x:c>
      <x:c r="X95" t="n">
        <x:f>IF(NOT(ISNUMBER(M95)),"",M95/N95)</x:f>
        <x:v>0</x:v>
      </x:c>
    </x:row>
    <x:row r="96">
      <x:c r="A96" t="str">
        <x:v>AUBURN</x:v>
      </x:c>
      <x:c r="B96" t="str">
        <x:v>Auburn University</x:v>
      </x:c>
      <x:c r="C96" t="str">
        <x:v>FBS</x:v>
      </x:c>
      <x:c r="D96" t="str">
        <x:v>Southeastern Conference</x:v>
      </x:c>
      <x:c r="E96" t="str">
        <x:v>National Heartland</x:v>
      </x:c>
      <x:c r="F96" t="n">
        <x:v>3</x:v>
      </x:c>
      <x:c r="G96" t="n">
        <x:v>0.4287</x:v>
      </x:c>
      <x:c r="H96" t="n">
        <x:v>0.5664</x:v>
      </x:c>
      <x:c r="I96" t="n">
        <x:v>54.4433</x:v>
      </x:c>
      <x:c r="J96" t="n">
        <x:f>IF(ISNUMBER(I96),MAX(1,I96),1)</x:f>
        <x:v>54.4433</x:v>
      </x:c>
      <x:c r="K96"/>
      <x:c r="L96" t="str">
        <x:v>NOT VERIFIED</x:v>
      </x:c>
      <x:c r="M96" t="n">
        <x:f>IF(COUNTIFS('Conference pools'!$A$2:$A$25,D96,'Conference pools'!$D$2:$D$25,"&gt;=0")=0,"",SUMIF('Conference pools'!$A$2:$A$25,D96,'Conference pools'!$D$2:$D$25))</x:f>
        <x:v>0</x:v>
      </x:c>
      <x:c r="N96" t="n">
        <x:f>COUNTIF($D$2:$D$267,D96)</x:f>
        <x:v>16</x:v>
      </x:c>
      <x:c r="O96" t="n">
        <x:f>SUMIF($D$2:$D$267,D96,$J$2:$J$267)</x:f>
        <x:v>979.9415</x:v>
      </x:c>
      <x:c r="P96" t="n">
        <x:f>IF(OR(NOT(ISNUMBER(M96)),O96=0),"",M96*('Conference pools'!$H$2/N96+'Conference pools'!$H$3*J96/O96))</x:f>
        <x:v>0</x:v>
      </x:c>
      <x:c r="Q96" t="n">
        <x:f>IF(COUNTIFS($E$2:$E$267,E96,$X$2:$X$267,"&lt;&gt;")&lt;&gt;COUNTIF($E$2:$E$267,E96),"",SUMIF($E$2:$E$267,E96,$X$2:$X$267))</x:f>
        <x:v>0</x:v>
      </x:c>
      <x:c r="R96" t="n">
        <x:f>COUNTIF($E$2:$E$267,E96)</x:f>
        <x:v>11</x:v>
      </x:c>
      <x:c r="S96" t="n">
        <x:f>SUMIF($E$2:$E$267,E96,$J$2:$J$267)</x:f>
        <x:v>506.7764</x:v>
      </x:c>
      <x:c r="T96" t="n">
        <x:f>IF(OR(NOT(ISNUMBER(Q96)),S96=0),"",Q96*('Conference pools'!$H$2/R96+'Conference pools'!$H$3*J96/S96))</x:f>
        <x:v>0</x:v>
      </x:c>
      <x:c r="U96" t="n">
        <x:f>IF(OR(NOT(ISNUMBER(P96)),NOT(ISNUMBER(T96))),"",T96-P96)</x:f>
        <x:v>0</x:v>
      </x:c>
      <x:c r="V96" s="8" t="str">
        <x:f>IF(OR(NOT(ISNUMBER(U96)),P96=0),"",U96/P96)</x:f>
      </x:c>
      <x:c r="W96" t="str">
        <x:f>IF(OR(NOT(ISNUMBER(T96)),NOT(ISNUMBER(K96))),"",T96-K96)</x:f>
      </x:c>
      <x:c r="X96" t="n">
        <x:f>IF(NOT(ISNUMBER(M96)),"",M96/N96)</x:f>
        <x:v>0</x:v>
      </x:c>
    </x:row>
    <x:row r="97">
      <x:c r="A97" t="str">
        <x:v>LOUISIANA_TECH</x:v>
      </x:c>
      <x:c r="B97" t="str">
        <x:v>Louisiana Tech University</x:v>
      </x:c>
      <x:c r="C97" t="str">
        <x:v>FBS</x:v>
      </x:c>
      <x:c r="D97" t="str">
        <x:v>Conference USA</x:v>
      </x:c>
      <x:c r="E97" t="str">
        <x:v>National Heartland</x:v>
      </x:c>
      <x:c r="F97" t="n">
        <x:v>7</x:v>
      </x:c>
      <x:c r="G97" t="n">
        <x:v>0.4472</x:v>
      </x:c>
      <x:c r="H97" t="n">
        <x:v>0.4637</x:v>
      </x:c>
      <x:c r="I97" t="n">
        <x:v>48.2276</x:v>
      </x:c>
      <x:c r="J97" t="n">
        <x:f>IF(ISNUMBER(I97),MAX(1,I97),1)</x:f>
        <x:v>48.2276</x:v>
      </x:c>
      <x:c r="K97"/>
      <x:c r="L97" t="str">
        <x:v>NOT VERIFIED</x:v>
      </x:c>
      <x:c r="M97" t="n">
        <x:f>IF(COUNTIFS('Conference pools'!$A$2:$A$25,D97,'Conference pools'!$D$2:$D$25,"&gt;=0")=0,"",SUMIF('Conference pools'!$A$2:$A$25,D97,'Conference pools'!$D$2:$D$25))</x:f>
        <x:v>0</x:v>
      </x:c>
      <x:c r="N97" t="n">
        <x:f>COUNTIF($D$2:$D$267,D97)</x:f>
        <x:v>10</x:v>
      </x:c>
      <x:c r="O97" t="n">
        <x:f>SUMIF($D$2:$D$267,D97,$J$2:$J$267)</x:f>
        <x:v>487.94570000000004</x:v>
      </x:c>
      <x:c r="P97" t="n">
        <x:f>IF(OR(NOT(ISNUMBER(M97)),O97=0),"",M97*('Conference pools'!$H$2/N97+'Conference pools'!$H$3*J97/O97))</x:f>
        <x:v>0</x:v>
      </x:c>
      <x:c r="Q97" t="n">
        <x:f>IF(COUNTIFS($E$2:$E$267,E97,$X$2:$X$267,"&lt;&gt;")&lt;&gt;COUNTIF($E$2:$E$267,E97),"",SUMIF($E$2:$E$267,E97,$X$2:$X$267))</x:f>
        <x:v>0</x:v>
      </x:c>
      <x:c r="R97" t="n">
        <x:f>COUNTIF($E$2:$E$267,E97)</x:f>
        <x:v>11</x:v>
      </x:c>
      <x:c r="S97" t="n">
        <x:f>SUMIF($E$2:$E$267,E97,$J$2:$J$267)</x:f>
        <x:v>506.7764</x:v>
      </x:c>
      <x:c r="T97" t="n">
        <x:f>IF(OR(NOT(ISNUMBER(Q97)),S97=0),"",Q97*('Conference pools'!$H$2/R97+'Conference pools'!$H$3*J97/S97))</x:f>
        <x:v>0</x:v>
      </x:c>
      <x:c r="U97" t="n">
        <x:f>IF(OR(NOT(ISNUMBER(P97)),NOT(ISNUMBER(T97))),"",T97-P97)</x:f>
        <x:v>0</x:v>
      </x:c>
      <x:c r="V97" s="8" t="str">
        <x:f>IF(OR(NOT(ISNUMBER(U97)),P97=0),"",U97/P97)</x:f>
      </x:c>
      <x:c r="W97" t="str">
        <x:f>IF(OR(NOT(ISNUMBER(T97)),NOT(ISNUMBER(K97))),"",T97-K97)</x:f>
      </x:c>
      <x:c r="X97" t="n">
        <x:f>IF(NOT(ISNUMBER(M97)),"",M97/N97)</x:f>
        <x:v>0</x:v>
      </x:c>
    </x:row>
    <x:row r="98">
      <x:c r="A98" t="str">
        <x:v>SAM_HOUSTON</x:v>
      </x:c>
      <x:c r="B98" t="str">
        <x:v>Sam Houston State University</x:v>
      </x:c>
      <x:c r="C98" t="str">
        <x:v>FBS</x:v>
      </x:c>
      <x:c r="D98" t="str">
        <x:v>Conference USA</x:v>
      </x:c>
      <x:c r="E98" t="str">
        <x:v>National Heartland</x:v>
      </x:c>
      <x:c r="F98" t="n">
        <x:v>10</x:v>
      </x:c>
      <x:c r="G98" t="n">
        <x:v>0.406</x:v>
      </x:c>
      <x:c r="H98" t="n">
        <x:v>0.475</x:v>
      </x:c>
      <x:c r="I98" t="n">
        <x:v>44.9985</x:v>
      </x:c>
      <x:c r="J98" t="n">
        <x:f>IF(ISNUMBER(I98),MAX(1,I98),1)</x:f>
        <x:v>44.9985</x:v>
      </x:c>
      <x:c r="K98"/>
      <x:c r="L98" t="str">
        <x:v>NOT VERIFIED</x:v>
      </x:c>
      <x:c r="M98" t="n">
        <x:f>IF(COUNTIFS('Conference pools'!$A$2:$A$25,D98,'Conference pools'!$D$2:$D$25,"&gt;=0")=0,"",SUMIF('Conference pools'!$A$2:$A$25,D98,'Conference pools'!$D$2:$D$25))</x:f>
        <x:v>0</x:v>
      </x:c>
      <x:c r="N98" t="n">
        <x:f>COUNTIF($D$2:$D$267,D98)</x:f>
        <x:v>10</x:v>
      </x:c>
      <x:c r="O98" t="n">
        <x:f>SUMIF($D$2:$D$267,D98,$J$2:$J$267)</x:f>
        <x:v>487.94570000000004</x:v>
      </x:c>
      <x:c r="P98" t="n">
        <x:f>IF(OR(NOT(ISNUMBER(M98)),O98=0),"",M98*('Conference pools'!$H$2/N98+'Conference pools'!$H$3*J98/O98))</x:f>
        <x:v>0</x:v>
      </x:c>
      <x:c r="Q98" t="n">
        <x:f>IF(COUNTIFS($E$2:$E$267,E98,$X$2:$X$267,"&lt;&gt;")&lt;&gt;COUNTIF($E$2:$E$267,E98),"",SUMIF($E$2:$E$267,E98,$X$2:$X$267))</x:f>
        <x:v>0</x:v>
      </x:c>
      <x:c r="R98" t="n">
        <x:f>COUNTIF($E$2:$E$267,E98)</x:f>
        <x:v>11</x:v>
      </x:c>
      <x:c r="S98" t="n">
        <x:f>SUMIF($E$2:$E$267,E98,$J$2:$J$267)</x:f>
        <x:v>506.7764</x:v>
      </x:c>
      <x:c r="T98" t="n">
        <x:f>IF(OR(NOT(ISNUMBER(Q98)),S98=0),"",Q98*('Conference pools'!$H$2/R98+'Conference pools'!$H$3*J98/S98))</x:f>
        <x:v>0</x:v>
      </x:c>
      <x:c r="U98" t="n">
        <x:f>IF(OR(NOT(ISNUMBER(P98)),NOT(ISNUMBER(T98))),"",T98-P98)</x:f>
        <x:v>0</x:v>
      </x:c>
      <x:c r="V98" s="8" t="str">
        <x:f>IF(OR(NOT(ISNUMBER(U98)),P98=0),"",U98/P98)</x:f>
      </x:c>
      <x:c r="W98" t="str">
        <x:f>IF(OR(NOT(ISNUMBER(T98)),NOT(ISNUMBER(K98))),"",T98-K98)</x:f>
      </x:c>
      <x:c r="X98" t="n">
        <x:f>IF(NOT(ISNUMBER(M98)),"",M98/N98)</x:f>
        <x:v>0</x:v>
      </x:c>
    </x:row>
    <x:row r="99">
      <x:c r="A99" t="str">
        <x:v>KENNESAW_STATE</x:v>
      </x:c>
      <x:c r="B99" t="str">
        <x:v>Kennesaw State University</x:v>
      </x:c>
      <x:c r="C99" t="str">
        <x:v>FBS</x:v>
      </x:c>
      <x:c r="D99" t="str">
        <x:v>Conference USA</x:v>
      </x:c>
      <x:c r="E99" t="str">
        <x:v>National Heartland</x:v>
      </x:c>
      <x:c r="F99" t="n">
        <x:v>9</x:v>
      </x:c>
      <x:c r="G99" t="n">
        <x:v>0.4542</x:v>
      </x:c>
      <x:c r="H99" t="n">
        <x:v>0.5198</x:v>
      </x:c>
      <x:c r="I99" t="n">
        <x:v>46.3738</x:v>
      </x:c>
      <x:c r="J99" t="n">
        <x:f>IF(ISNUMBER(I99),MAX(1,I99),1)</x:f>
        <x:v>46.3738</x:v>
      </x:c>
      <x:c r="K99"/>
      <x:c r="L99" t="str">
        <x:v>NOT VERIFIED</x:v>
      </x:c>
      <x:c r="M99" t="n">
        <x:f>IF(COUNTIFS('Conference pools'!$A$2:$A$25,D99,'Conference pools'!$D$2:$D$25,"&gt;=0")=0,"",SUMIF('Conference pools'!$A$2:$A$25,D99,'Conference pools'!$D$2:$D$25))</x:f>
        <x:v>0</x:v>
      </x:c>
      <x:c r="N99" t="n">
        <x:f>COUNTIF($D$2:$D$267,D99)</x:f>
        <x:v>10</x:v>
      </x:c>
      <x:c r="O99" t="n">
        <x:f>SUMIF($D$2:$D$267,D99,$J$2:$J$267)</x:f>
        <x:v>487.94570000000004</x:v>
      </x:c>
      <x:c r="P99" t="n">
        <x:f>IF(OR(NOT(ISNUMBER(M99)),O99=0),"",M99*('Conference pools'!$H$2/N99+'Conference pools'!$H$3*J99/O99))</x:f>
        <x:v>0</x:v>
      </x:c>
      <x:c r="Q99" t="n">
        <x:f>IF(COUNTIFS($E$2:$E$267,E99,$X$2:$X$267,"&lt;&gt;")&lt;&gt;COUNTIF($E$2:$E$267,E99),"",SUMIF($E$2:$E$267,E99,$X$2:$X$267))</x:f>
        <x:v>0</x:v>
      </x:c>
      <x:c r="R99" t="n">
        <x:f>COUNTIF($E$2:$E$267,E99)</x:f>
        <x:v>11</x:v>
      </x:c>
      <x:c r="S99" t="n">
        <x:f>SUMIF($E$2:$E$267,E99,$J$2:$J$267)</x:f>
        <x:v>506.7764</x:v>
      </x:c>
      <x:c r="T99" t="n">
        <x:f>IF(OR(NOT(ISNUMBER(Q99)),S99=0),"",Q99*('Conference pools'!$H$2/R99+'Conference pools'!$H$3*J99/S99))</x:f>
        <x:v>0</x:v>
      </x:c>
      <x:c r="U99" t="n">
        <x:f>IF(OR(NOT(ISNUMBER(P99)),NOT(ISNUMBER(T99))),"",T99-P99)</x:f>
        <x:v>0</x:v>
      </x:c>
      <x:c r="V99" s="8" t="str">
        <x:f>IF(OR(NOT(ISNUMBER(U99)),P99=0),"",U99/P99)</x:f>
      </x:c>
      <x:c r="W99" t="str">
        <x:f>IF(OR(NOT(ISNUMBER(T99)),NOT(ISNUMBER(K99))),"",T99-K99)</x:f>
      </x:c>
      <x:c r="X99" t="n">
        <x:f>IF(NOT(ISNUMBER(M99)),"",M99/N99)</x:f>
        <x:v>0</x:v>
      </x:c>
    </x:row>
    <x:row r="100">
      <x:c r="A100" t="str">
        <x:v>RICE</x:v>
      </x:c>
      <x:c r="B100" t="str">
        <x:v>Rice University</x:v>
      </x:c>
      <x:c r="C100" t="str">
        <x:v>FBS</x:v>
      </x:c>
      <x:c r="D100" t="str">
        <x:v>American Athletic</x:v>
      </x:c>
      <x:c r="E100" t="str">
        <x:v>National Heartland</x:v>
      </x:c>
      <x:c r="F100" t="n">
        <x:v>10</x:v>
      </x:c>
      <x:c r="G100" t="n">
        <x:v>0.3878</x:v>
      </x:c>
      <x:c r="H100" t="n">
        <x:v>0.5555</x:v>
      </x:c>
      <x:c r="I100" t="n">
        <x:v>44.8336</x:v>
      </x:c>
      <x:c r="J100" t="n">
        <x:f>IF(ISNUMBER(I100),MAX(1,I100),1)</x:f>
        <x:v>44.8336</x:v>
      </x:c>
      <x:c r="K100"/>
      <x:c r="L100" t="str">
        <x:v>NOT VERIFIED</x:v>
      </x:c>
      <x:c r="M100" t="n">
        <x:f>IF(COUNTIFS('Conference pools'!$A$2:$A$25,D100,'Conference pools'!$D$2:$D$25,"&gt;=0")=0,"",SUMIF('Conference pools'!$A$2:$A$25,D100,'Conference pools'!$D$2:$D$25))</x:f>
        <x:v>0</x:v>
      </x:c>
      <x:c r="N100" t="n">
        <x:f>COUNTIF($D$2:$D$267,D100)</x:f>
        <x:v>14</x:v>
      </x:c>
      <x:c r="O100" t="n">
        <x:f>SUMIF($D$2:$D$267,D100,$J$2:$J$267)</x:f>
        <x:v>720.9868000000001</x:v>
      </x:c>
      <x:c r="P100" t="n">
        <x:f>IF(OR(NOT(ISNUMBER(M100)),O100=0),"",M100*('Conference pools'!$H$2/N100+'Conference pools'!$H$3*J100/O100))</x:f>
        <x:v>0</x:v>
      </x:c>
      <x:c r="Q100" t="n">
        <x:f>IF(COUNTIFS($E$2:$E$267,E100,$X$2:$X$267,"&lt;&gt;")&lt;&gt;COUNTIF($E$2:$E$267,E100),"",SUMIF($E$2:$E$267,E100,$X$2:$X$267))</x:f>
        <x:v>0</x:v>
      </x:c>
      <x:c r="R100" t="n">
        <x:f>COUNTIF($E$2:$E$267,E100)</x:f>
        <x:v>11</x:v>
      </x:c>
      <x:c r="S100" t="n">
        <x:f>SUMIF($E$2:$E$267,E100,$J$2:$J$267)</x:f>
        <x:v>506.7764</x:v>
      </x:c>
      <x:c r="T100" t="n">
        <x:f>IF(OR(NOT(ISNUMBER(Q100)),S100=0),"",Q100*('Conference pools'!$H$2/R100+'Conference pools'!$H$3*J100/S100))</x:f>
        <x:v>0</x:v>
      </x:c>
      <x:c r="U100" t="n">
        <x:f>IF(OR(NOT(ISNUMBER(P100)),NOT(ISNUMBER(T100))),"",T100-P100)</x:f>
        <x:v>0</x:v>
      </x:c>
      <x:c r="V100" s="8" t="str">
        <x:f>IF(OR(NOT(ISNUMBER(U100)),P100=0),"",U100/P100)</x:f>
      </x:c>
      <x:c r="W100" t="str">
        <x:f>IF(OR(NOT(ISNUMBER(T100)),NOT(ISNUMBER(K100))),"",T100-K100)</x:f>
      </x:c>
      <x:c r="X100" t="n">
        <x:f>IF(NOT(ISNUMBER(M100)),"",M100/N100)</x:f>
        <x:v>0</x:v>
      </x:c>
    </x:row>
    <x:row r="101">
      <x:c r="A101" t="str">
        <x:v>MISSISSIPPI_STATE</x:v>
      </x:c>
      <x:c r="B101" t="str">
        <x:v>Mississippi State University</x:v>
      </x:c>
      <x:c r="C101" t="str">
        <x:v>FBS</x:v>
      </x:c>
      <x:c r="D101" t="str">
        <x:v>Southeastern Conference</x:v>
      </x:c>
      <x:c r="E101" t="str">
        <x:v>National Heartland</x:v>
      </x:c>
      <x:c r="F101" t="n">
        <x:v>7</x:v>
      </x:c>
      <x:c r="G101" t="n">
        <x:v>0.3197</x:v>
      </x:c>
      <x:c r="H101" t="n">
        <x:v>0.5947</x:v>
      </x:c>
      <x:c r="I101" t="n">
        <x:v>48.1988</x:v>
      </x:c>
      <x:c r="J101" t="n">
        <x:f>IF(ISNUMBER(I101),MAX(1,I101),1)</x:f>
        <x:v>48.1988</x:v>
      </x:c>
      <x:c r="K101"/>
      <x:c r="L101" t="str">
        <x:v>NOT VERIFIED</x:v>
      </x:c>
      <x:c r="M101" t="n">
        <x:f>IF(COUNTIFS('Conference pools'!$A$2:$A$25,D101,'Conference pools'!$D$2:$D$25,"&gt;=0")=0,"",SUMIF('Conference pools'!$A$2:$A$25,D101,'Conference pools'!$D$2:$D$25))</x:f>
        <x:v>0</x:v>
      </x:c>
      <x:c r="N101" t="n">
        <x:f>COUNTIF($D$2:$D$267,D101)</x:f>
        <x:v>16</x:v>
      </x:c>
      <x:c r="O101" t="n">
        <x:f>SUMIF($D$2:$D$267,D101,$J$2:$J$267)</x:f>
        <x:v>979.9415</x:v>
      </x:c>
      <x:c r="P101" t="n">
        <x:f>IF(OR(NOT(ISNUMBER(M101)),O101=0),"",M101*('Conference pools'!$H$2/N101+'Conference pools'!$H$3*J101/O101))</x:f>
        <x:v>0</x:v>
      </x:c>
      <x:c r="Q101" t="n">
        <x:f>IF(COUNTIFS($E$2:$E$267,E101,$X$2:$X$267,"&lt;&gt;")&lt;&gt;COUNTIF($E$2:$E$267,E101),"",SUMIF($E$2:$E$267,E101,$X$2:$X$267))</x:f>
        <x:v>0</x:v>
      </x:c>
      <x:c r="R101" t="n">
        <x:f>COUNTIF($E$2:$E$267,E101)</x:f>
        <x:v>11</x:v>
      </x:c>
      <x:c r="S101" t="n">
        <x:f>SUMIF($E$2:$E$267,E101,$J$2:$J$267)</x:f>
        <x:v>506.7764</x:v>
      </x:c>
      <x:c r="T101" t="n">
        <x:f>IF(OR(NOT(ISNUMBER(Q101)),S101=0),"",Q101*('Conference pools'!$H$2/R101+'Conference pools'!$H$3*J101/S101))</x:f>
        <x:v>0</x:v>
      </x:c>
      <x:c r="U101" t="n">
        <x:f>IF(OR(NOT(ISNUMBER(P101)),NOT(ISNUMBER(T101))),"",T101-P101)</x:f>
        <x:v>0</x:v>
      </x:c>
      <x:c r="V101" s="8" t="str">
        <x:f>IF(OR(NOT(ISNUMBER(U101)),P101=0),"",U101/P101)</x:f>
      </x:c>
      <x:c r="W101" t="str">
        <x:f>IF(OR(NOT(ISNUMBER(T101)),NOT(ISNUMBER(K101))),"",T101-K101)</x:f>
      </x:c>
      <x:c r="X101" t="n">
        <x:f>IF(NOT(ISNUMBER(M101)),"",M101/N101)</x:f>
        <x:v>0</x:v>
      </x:c>
    </x:row>
    <x:row r="102">
      <x:c r="A102" t="str">
        <x:v>SOUTHERN_MISS</x:v>
      </x:c>
      <x:c r="B102" t="str">
        <x:v>University of Southern Mississippi</x:v>
      </x:c>
      <x:c r="C102" t="str">
        <x:v>FBS</x:v>
      </x:c>
      <x:c r="D102" t="str">
        <x:v>Sun Belt</x:v>
      </x:c>
      <x:c r="E102" t="str">
        <x:v>National Heartland</x:v>
      </x:c>
      <x:c r="F102" t="n">
        <x:v>13</x:v>
      </x:c>
      <x:c r="G102" t="n">
        <x:v>0.316</x:v>
      </x:c>
      <x:c r="H102" t="n">
        <x:v>0.547</x:v>
      </x:c>
      <x:c r="I102" t="n">
        <x:v>42.4691</x:v>
      </x:c>
      <x:c r="J102" t="n">
        <x:f>IF(ISNUMBER(I102),MAX(1,I102),1)</x:f>
        <x:v>42.4691</x:v>
      </x:c>
      <x:c r="K102"/>
      <x:c r="L102" t="str">
        <x:v>NOT VERIFIED</x:v>
      </x:c>
      <x:c r="M102" t="n">
        <x:f>IF(COUNTIFS('Conference pools'!$A$2:$A$25,D102,'Conference pools'!$D$2:$D$25,"&gt;=0")=0,"",SUMIF('Conference pools'!$A$2:$A$25,D102,'Conference pools'!$D$2:$D$25))</x:f>
        <x:v>0</x:v>
      </x:c>
      <x:c r="N102" t="n">
        <x:f>COUNTIF($D$2:$D$267,D102)</x:f>
        <x:v>13</x:v>
      </x:c>
      <x:c r="O102" t="n">
        <x:f>SUMIF($D$2:$D$267,D102,$J$2:$J$267)</x:f>
        <x:v>670.3176</x:v>
      </x:c>
      <x:c r="P102" t="n">
        <x:f>IF(OR(NOT(ISNUMBER(M102)),O102=0),"",M102*('Conference pools'!$H$2/N102+'Conference pools'!$H$3*J102/O102))</x:f>
        <x:v>0</x:v>
      </x:c>
      <x:c r="Q102" t="n">
        <x:f>IF(COUNTIFS($E$2:$E$267,E102,$X$2:$X$267,"&lt;&gt;")&lt;&gt;COUNTIF($E$2:$E$267,E102),"",SUMIF($E$2:$E$267,E102,$X$2:$X$267))</x:f>
        <x:v>0</x:v>
      </x:c>
      <x:c r="R102" t="n">
        <x:f>COUNTIF($E$2:$E$267,E102)</x:f>
        <x:v>11</x:v>
      </x:c>
      <x:c r="S102" t="n">
        <x:f>SUMIF($E$2:$E$267,E102,$J$2:$J$267)</x:f>
        <x:v>506.7764</x:v>
      </x:c>
      <x:c r="T102" t="n">
        <x:f>IF(OR(NOT(ISNUMBER(Q102)),S102=0),"",Q102*('Conference pools'!$H$2/R102+'Conference pools'!$H$3*J102/S102))</x:f>
        <x:v>0</x:v>
      </x:c>
      <x:c r="U102" t="n">
        <x:f>IF(OR(NOT(ISNUMBER(P102)),NOT(ISNUMBER(T102))),"",T102-P102)</x:f>
        <x:v>0</x:v>
      </x:c>
      <x:c r="V102" s="8" t="str">
        <x:f>IF(OR(NOT(ISNUMBER(U102)),P102=0),"",U102/P102)</x:f>
      </x:c>
      <x:c r="W102" t="str">
        <x:f>IF(OR(NOT(ISNUMBER(T102)),NOT(ISNUMBER(K102))),"",T102-K102)</x:f>
      </x:c>
      <x:c r="X102" t="n">
        <x:f>IF(NOT(ISNUMBER(M102)),"",M102/N102)</x:f>
        <x:v>0</x:v>
      </x:c>
    </x:row>
    <x:row r="103">
      <x:c r="A103" t="str">
        <x:v>UAB</x:v>
      </x:c>
      <x:c r="B103" t="str">
        <x:v>University of Alabama at Birmingham</x:v>
      </x:c>
      <x:c r="C103" t="str">
        <x:v>FBS</x:v>
      </x:c>
      <x:c r="D103" t="str">
        <x:v>American Athletic</x:v>
      </x:c>
      <x:c r="E103" t="str">
        <x:v>National Heartland</x:v>
      </x:c>
      <x:c r="F103" t="n">
        <x:v>11</x:v>
      </x:c>
      <x:c r="G103" t="n">
        <x:v>0.3046</x:v>
      </x:c>
      <x:c r="H103" t="n">
        <x:v>0.5649</x:v>
      </x:c>
      <x:c r="I103" t="n">
        <x:v>44.0306</x:v>
      </x:c>
      <x:c r="J103" t="n">
        <x:f>IF(ISNUMBER(I103),MAX(1,I103),1)</x:f>
        <x:v>44.0306</x:v>
      </x:c>
      <x:c r="K103"/>
      <x:c r="L103" t="str">
        <x:v>NOT VERIFIED</x:v>
      </x:c>
      <x:c r="M103" t="n">
        <x:f>IF(COUNTIFS('Conference pools'!$A$2:$A$25,D103,'Conference pools'!$D$2:$D$25,"&gt;=0")=0,"",SUMIF('Conference pools'!$A$2:$A$25,D103,'Conference pools'!$D$2:$D$25))</x:f>
        <x:v>0</x:v>
      </x:c>
      <x:c r="N103" t="n">
        <x:f>COUNTIF($D$2:$D$267,D103)</x:f>
        <x:v>14</x:v>
      </x:c>
      <x:c r="O103" t="n">
        <x:f>SUMIF($D$2:$D$267,D103,$J$2:$J$267)</x:f>
        <x:v>720.9868000000001</x:v>
      </x:c>
      <x:c r="P103" t="n">
        <x:f>IF(OR(NOT(ISNUMBER(M103)),O103=0),"",M103*('Conference pools'!$H$2/N103+'Conference pools'!$H$3*J103/O103))</x:f>
        <x:v>0</x:v>
      </x:c>
      <x:c r="Q103" t="n">
        <x:f>IF(COUNTIFS($E$2:$E$267,E103,$X$2:$X$267,"&lt;&gt;")&lt;&gt;COUNTIF($E$2:$E$267,E103),"",SUMIF($E$2:$E$267,E103,$X$2:$X$267))</x:f>
        <x:v>0</x:v>
      </x:c>
      <x:c r="R103" t="n">
        <x:f>COUNTIF($E$2:$E$267,E103)</x:f>
        <x:v>11</x:v>
      </x:c>
      <x:c r="S103" t="n">
        <x:f>SUMIF($E$2:$E$267,E103,$J$2:$J$267)</x:f>
        <x:v>506.7764</x:v>
      </x:c>
      <x:c r="T103" t="n">
        <x:f>IF(OR(NOT(ISNUMBER(Q103)),S103=0),"",Q103*('Conference pools'!$H$2/R103+'Conference pools'!$H$3*J103/S103))</x:f>
        <x:v>0</x:v>
      </x:c>
      <x:c r="U103" t="n">
        <x:f>IF(OR(NOT(ISNUMBER(P103)),NOT(ISNUMBER(T103))),"",T103-P103)</x:f>
        <x:v>0</x:v>
      </x:c>
      <x:c r="V103" s="8" t="str">
        <x:f>IF(OR(NOT(ISNUMBER(U103)),P103=0),"",U103/P103)</x:f>
      </x:c>
      <x:c r="W103" t="str">
        <x:f>IF(OR(NOT(ISNUMBER(T103)),NOT(ISNUMBER(K103))),"",T103-K103)</x:f>
      </x:c>
      <x:c r="X103" t="n">
        <x:f>IF(NOT(ISNUMBER(M103)),"",M103/N103)</x:f>
        <x:v>0</x:v>
      </x:c>
    </x:row>
    <x:row r="104">
      <x:c r="A104" t="str">
        <x:v>MIDDLE_TENNESSEE</x:v>
      </x:c>
      <x:c r="B104" t="str">
        <x:v>Middle Tennessee State University</x:v>
      </x:c>
      <x:c r="C104" t="str">
        <x:v>FBS</x:v>
      </x:c>
      <x:c r="D104" t="str">
        <x:v>Conference USA</x:v>
      </x:c>
      <x:c r="E104" t="str">
        <x:v>National Heartland</x:v>
      </x:c>
      <x:c r="F104" t="n">
        <x:v>16</x:v>
      </x:c>
      <x:c r="G104" t="n">
        <x:v>0.2711</x:v>
      </x:c>
      <x:c r="H104" t="n">
        <x:v>0.5021</x:v>
      </x:c>
      <x:c r="I104" t="n">
        <x:v>40.5743</x:v>
      </x:c>
      <x:c r="J104" t="n">
        <x:f>IF(ISNUMBER(I104),MAX(1,I104),1)</x:f>
        <x:v>40.5743</x:v>
      </x:c>
      <x:c r="K104"/>
      <x:c r="L104" t="str">
        <x:v>NOT VERIFIED</x:v>
      </x:c>
      <x:c r="M104" t="n">
        <x:f>IF(COUNTIFS('Conference pools'!$A$2:$A$25,D104,'Conference pools'!$D$2:$D$25,"&gt;=0")=0,"",SUMIF('Conference pools'!$A$2:$A$25,D104,'Conference pools'!$D$2:$D$25))</x:f>
        <x:v>0</x:v>
      </x:c>
      <x:c r="N104" t="n">
        <x:f>COUNTIF($D$2:$D$267,D104)</x:f>
        <x:v>10</x:v>
      </x:c>
      <x:c r="O104" t="n">
        <x:f>SUMIF($D$2:$D$267,D104,$J$2:$J$267)</x:f>
        <x:v>487.94570000000004</x:v>
      </x:c>
      <x:c r="P104" t="n">
        <x:f>IF(OR(NOT(ISNUMBER(M104)),O104=0),"",M104*('Conference pools'!$H$2/N104+'Conference pools'!$H$3*J104/O104))</x:f>
        <x:v>0</x:v>
      </x:c>
      <x:c r="Q104" t="n">
        <x:f>IF(COUNTIFS($E$2:$E$267,E104,$X$2:$X$267,"&lt;&gt;")&lt;&gt;COUNTIF($E$2:$E$267,E104),"",SUMIF($E$2:$E$267,E104,$X$2:$X$267))</x:f>
        <x:v>0</x:v>
      </x:c>
      <x:c r="R104" t="n">
        <x:f>COUNTIF($E$2:$E$267,E104)</x:f>
        <x:v>11</x:v>
      </x:c>
      <x:c r="S104" t="n">
        <x:f>SUMIF($E$2:$E$267,E104,$J$2:$J$267)</x:f>
        <x:v>506.7764</x:v>
      </x:c>
      <x:c r="T104" t="n">
        <x:f>IF(OR(NOT(ISNUMBER(Q104)),S104=0),"",Q104*('Conference pools'!$H$2/R104+'Conference pools'!$H$3*J104/S104))</x:f>
        <x:v>0</x:v>
      </x:c>
      <x:c r="U104" t="n">
        <x:f>IF(OR(NOT(ISNUMBER(P104)),NOT(ISNUMBER(T104))),"",T104-P104)</x:f>
        <x:v>0</x:v>
      </x:c>
      <x:c r="V104" s="8" t="str">
        <x:f>IF(OR(NOT(ISNUMBER(U104)),P104=0),"",U104/P104)</x:f>
      </x:c>
      <x:c r="W104" t="str">
        <x:f>IF(OR(NOT(ISNUMBER(T104)),NOT(ISNUMBER(K104))),"",T104-K104)</x:f>
      </x:c>
      <x:c r="X104" t="n">
        <x:f>IF(NOT(ISNUMBER(M104)),"",M104/N104)</x:f>
        <x:v>0</x:v>
      </x:c>
    </x:row>
    <x:row r="105">
      <x:c r="A105" t="str">
        <x:v>ULM</x:v>
      </x:c>
      <x:c r="B105" t="str">
        <x:v>University of Louisiana Monroe</x:v>
      </x:c>
      <x:c r="C105" t="str">
        <x:v>FBS</x:v>
      </x:c>
      <x:c r="D105" t="str">
        <x:v>Sun Belt</x:v>
      </x:c>
      <x:c r="E105" t="str">
        <x:v>National Heartland</x:v>
      </x:c>
      <x:c r="F105" t="n">
        <x:v>17</x:v>
      </x:c>
      <x:c r="G105" t="n">
        <x:v>0.2864</x:v>
      </x:c>
      <x:c r="H105" t="n">
        <x:v>0.522</x:v>
      </x:c>
      <x:c r="I105" t="n">
        <x:v>39.7215</x:v>
      </x:c>
      <x:c r="J105" t="n">
        <x:f>IF(ISNUMBER(I105),MAX(1,I105),1)</x:f>
        <x:v>39.7215</x:v>
      </x:c>
      <x:c r="K105"/>
      <x:c r="L105" t="str">
        <x:v>NOT VERIFIED</x:v>
      </x:c>
      <x:c r="M105" t="n">
        <x:f>IF(COUNTIFS('Conference pools'!$A$2:$A$25,D105,'Conference pools'!$D$2:$D$25,"&gt;=0")=0,"",SUMIF('Conference pools'!$A$2:$A$25,D105,'Conference pools'!$D$2:$D$25))</x:f>
        <x:v>0</x:v>
      </x:c>
      <x:c r="N105" t="n">
        <x:f>COUNTIF($D$2:$D$267,D105)</x:f>
        <x:v>13</x:v>
      </x:c>
      <x:c r="O105" t="n">
        <x:f>SUMIF($D$2:$D$267,D105,$J$2:$J$267)</x:f>
        <x:v>670.3176</x:v>
      </x:c>
      <x:c r="P105" t="n">
        <x:f>IF(OR(NOT(ISNUMBER(M105)),O105=0),"",M105*('Conference pools'!$H$2/N105+'Conference pools'!$H$3*J105/O105))</x:f>
        <x:v>0</x:v>
      </x:c>
      <x:c r="Q105" t="n">
        <x:f>IF(COUNTIFS($E$2:$E$267,E105,$X$2:$X$267,"&lt;&gt;")&lt;&gt;COUNTIF($E$2:$E$267,E105),"",SUMIF($E$2:$E$267,E105,$X$2:$X$267))</x:f>
        <x:v>0</x:v>
      </x:c>
      <x:c r="R105" t="n">
        <x:f>COUNTIF($E$2:$E$267,E105)</x:f>
        <x:v>11</x:v>
      </x:c>
      <x:c r="S105" t="n">
        <x:f>SUMIF($E$2:$E$267,E105,$J$2:$J$267)</x:f>
        <x:v>506.7764</x:v>
      </x:c>
      <x:c r="T105" t="n">
        <x:f>IF(OR(NOT(ISNUMBER(Q105)),S105=0),"",Q105*('Conference pools'!$H$2/R105+'Conference pools'!$H$3*J105/S105))</x:f>
        <x:v>0</x:v>
      </x:c>
      <x:c r="U105" t="n">
        <x:f>IF(OR(NOT(ISNUMBER(P105)),NOT(ISNUMBER(T105))),"",T105-P105)</x:f>
        <x:v>0</x:v>
      </x:c>
      <x:c r="V105" s="8" t="str">
        <x:f>IF(OR(NOT(ISNUMBER(U105)),P105=0),"",U105/P105)</x:f>
      </x:c>
      <x:c r="W105" t="str">
        <x:f>IF(OR(NOT(ISNUMBER(T105)),NOT(ISNUMBER(K105))),"",T105-K105)</x:f>
      </x:c>
      <x:c r="X105" t="n">
        <x:f>IF(NOT(ISNUMBER(M105)),"",M105/N105)</x:f>
        <x:v>0</x:v>
      </x:c>
    </x:row>
    <x:row r="106">
      <x:c r="A106" t="str">
        <x:v>AIR_FORCE</x:v>
      </x:c>
      <x:c r="B106" t="str">
        <x:v>United States Air Force Academy</x:v>
      </x:c>
      <x:c r="C106" t="str">
        <x:v>FBS</x:v>
      </x:c>
      <x:c r="D106" t="str">
        <x:v>Mountain West</x:v>
      </x:c>
      <x:c r="E106" t="str">
        <x:v>National Mountain</x:v>
      </x:c>
      <x:c r="F106" t="n">
        <x:v>4</x:v>
      </x:c>
      <x:c r="G106" t="n">
        <x:v>0.4578</x:v>
      </x:c>
      <x:c r="H106" t="n">
        <x:v>0.5095</x:v>
      </x:c>
      <x:c r="I106" t="n">
        <x:v>52.7207</x:v>
      </x:c>
      <x:c r="J106" t="n">
        <x:f>IF(ISNUMBER(I106),MAX(1,I106),1)</x:f>
        <x:v>52.7207</x:v>
      </x:c>
      <x:c r="K106"/>
      <x:c r="L106" t="str">
        <x:v>NOT VERIFIED</x:v>
      </x:c>
      <x:c r="M106" t="n">
        <x:f>IF(COUNTIFS('Conference pools'!$A$2:$A$25,D106,'Conference pools'!$D$2:$D$25,"&gt;=0")=0,"",SUMIF('Conference pools'!$A$2:$A$25,D106,'Conference pools'!$D$2:$D$25))</x:f>
        <x:v>0</x:v>
      </x:c>
      <x:c r="N106" t="n">
        <x:f>COUNTIF($D$2:$D$267,D106)</x:f>
        <x:v>10</x:v>
      </x:c>
      <x:c r="O106" t="n">
        <x:f>SUMIF($D$2:$D$267,D106,$J$2:$J$267)</x:f>
        <x:v>494.2351</x:v>
      </x:c>
      <x:c r="P106" t="n">
        <x:f>IF(OR(NOT(ISNUMBER(M106)),O106=0),"",M106*('Conference pools'!$H$2/N106+'Conference pools'!$H$3*J106/O106))</x:f>
        <x:v>0</x:v>
      </x:c>
      <x:c r="Q106" t="n">
        <x:f>IF(COUNTIFS($E$2:$E$267,E106,$X$2:$X$267,"&lt;&gt;")&lt;&gt;COUNTIF($E$2:$E$267,E106),"",SUMIF($E$2:$E$267,E106,$X$2:$X$267))</x:f>
        <x:v>0</x:v>
      </x:c>
      <x:c r="R106" t="n">
        <x:f>COUNTIF($E$2:$E$267,E106)</x:f>
        <x:v>11</x:v>
      </x:c>
      <x:c r="S106" t="n">
        <x:f>SUMIF($E$2:$E$267,E106,$J$2:$J$267)</x:f>
        <x:v>541.5835000000001</x:v>
      </x:c>
      <x:c r="T106" t="n">
        <x:f>IF(OR(NOT(ISNUMBER(Q106)),S106=0),"",Q106*('Conference pools'!$H$2/R106+'Conference pools'!$H$3*J106/S106))</x:f>
        <x:v>0</x:v>
      </x:c>
      <x:c r="U106" t="n">
        <x:f>IF(OR(NOT(ISNUMBER(P106)),NOT(ISNUMBER(T106))),"",T106-P106)</x:f>
        <x:v>0</x:v>
      </x:c>
      <x:c r="V106" s="8" t="str">
        <x:f>IF(OR(NOT(ISNUMBER(U106)),P106=0),"",U106/P106)</x:f>
      </x:c>
      <x:c r="W106" t="str">
        <x:f>IF(OR(NOT(ISNUMBER(T106)),NOT(ISNUMBER(K106))),"",T106-K106)</x:f>
      </x:c>
      <x:c r="X106" t="n">
        <x:f>IF(NOT(ISNUMBER(M106)),"",M106/N106)</x:f>
        <x:v>0</x:v>
      </x:c>
    </x:row>
    <x:row r="107">
      <x:c r="A107" t="str">
        <x:v>NEBRASKA</x:v>
      </x:c>
      <x:c r="B107" t="str">
        <x:v>University of Nebraska-Lincoln</x:v>
      </x:c>
      <x:c r="C107" t="str">
        <x:v>FBS</x:v>
      </x:c>
      <x:c r="D107" t="str">
        <x:v>Big Ten</x:v>
      </x:c>
      <x:c r="E107" t="str">
        <x:v>National Mountain</x:v>
      </x:c>
      <x:c r="F107" t="n">
        <x:v>4</x:v>
      </x:c>
      <x:c r="G107" t="n">
        <x:v>0.5095</x:v>
      </x:c>
      <x:c r="H107" t="n">
        <x:v>0.5168</x:v>
      </x:c>
      <x:c r="I107" t="n">
        <x:v>53.6419</x:v>
      </x:c>
      <x:c r="J107" t="n">
        <x:f>IF(ISNUMBER(I107),MAX(1,I107),1)</x:f>
        <x:v>53.6419</x:v>
      </x:c>
      <x:c r="K107"/>
      <x:c r="L107" t="str">
        <x:v>NOT VERIFIED</x:v>
      </x:c>
      <x:c r="M107" t="n">
        <x:f>IF(COUNTIFS('Conference pools'!$A$2:$A$25,D107,'Conference pools'!$D$2:$D$25,"&gt;=0")=0,"",SUMIF('Conference pools'!$A$2:$A$25,D107,'Conference pools'!$D$2:$D$25))</x:f>
        <x:v>0</x:v>
      </x:c>
      <x:c r="N107" t="n">
        <x:f>COUNTIF($D$2:$D$267,D107)</x:f>
        <x:v>18</x:v>
      </x:c>
      <x:c r="O107" t="n">
        <x:f>SUMIF($D$2:$D$267,D107,$J$2:$J$267)</x:f>
        <x:v>1068.7005</x:v>
      </x:c>
      <x:c r="P107" t="n">
        <x:f>IF(OR(NOT(ISNUMBER(M107)),O107=0),"",M107*('Conference pools'!$H$2/N107+'Conference pools'!$H$3*J107/O107))</x:f>
        <x:v>0</x:v>
      </x:c>
      <x:c r="Q107" t="n">
        <x:f>IF(COUNTIFS($E$2:$E$267,E107,$X$2:$X$267,"&lt;&gt;")&lt;&gt;COUNTIF($E$2:$E$267,E107),"",SUMIF($E$2:$E$267,E107,$X$2:$X$267))</x:f>
        <x:v>0</x:v>
      </x:c>
      <x:c r="R107" t="n">
        <x:f>COUNTIF($E$2:$E$267,E107)</x:f>
        <x:v>11</x:v>
      </x:c>
      <x:c r="S107" t="n">
        <x:f>SUMIF($E$2:$E$267,E107,$J$2:$J$267)</x:f>
        <x:v>541.5835000000001</x:v>
      </x:c>
      <x:c r="T107" t="n">
        <x:f>IF(OR(NOT(ISNUMBER(Q107)),S107=0),"",Q107*('Conference pools'!$H$2/R107+'Conference pools'!$H$3*J107/S107))</x:f>
        <x:v>0</x:v>
      </x:c>
      <x:c r="U107" t="n">
        <x:f>IF(OR(NOT(ISNUMBER(P107)),NOT(ISNUMBER(T107))),"",T107-P107)</x:f>
        <x:v>0</x:v>
      </x:c>
      <x:c r="V107" s="8" t="str">
        <x:f>IF(OR(NOT(ISNUMBER(U107)),P107=0),"",U107/P107)</x:f>
      </x:c>
      <x:c r="W107" t="str">
        <x:f>IF(OR(NOT(ISNUMBER(T107)),NOT(ISNUMBER(K107))),"",T107-K107)</x:f>
      </x:c>
      <x:c r="X107" t="n">
        <x:f>IF(NOT(ISNUMBER(M107)),"",M107/N107)</x:f>
        <x:v>0</x:v>
      </x:c>
    </x:row>
    <x:row r="108">
      <x:c r="A108" t="str">
        <x:v>KANSAS</x:v>
      </x:c>
      <x:c r="B108" t="str">
        <x:v>University of Kansas</x:v>
      </x:c>
      <x:c r="C108" t="str">
        <x:v>FBS</x:v>
      </x:c>
      <x:c r="D108" t="str">
        <x:v>Big 12</x:v>
      </x:c>
      <x:c r="E108" t="str">
        <x:v>National Mountain</x:v>
      </x:c>
      <x:c r="F108" t="n">
        <x:v>4</x:v>
      </x:c>
      <x:c r="G108" t="n">
        <x:v>0.4906</x:v>
      </x:c>
      <x:c r="H108" t="n">
        <x:v>0.5812</x:v>
      </x:c>
      <x:c r="I108" t="n">
        <x:v>53.1836</x:v>
      </x:c>
      <x:c r="J108" t="n">
        <x:f>IF(ISNUMBER(I108),MAX(1,I108),1)</x:f>
        <x:v>53.1836</x:v>
      </x:c>
      <x:c r="K108"/>
      <x:c r="L108" t="str">
        <x:v>NOT VERIFIED</x:v>
      </x:c>
      <x:c r="M108" t="n">
        <x:f>IF(COUNTIFS('Conference pools'!$A$2:$A$25,D108,'Conference pools'!$D$2:$D$25,"&gt;=0")=0,"",SUMIF('Conference pools'!$A$2:$A$25,D108,'Conference pools'!$D$2:$D$25))</x:f>
        <x:v>0</x:v>
      </x:c>
      <x:c r="N108" t="n">
        <x:f>COUNTIF($D$2:$D$267,D108)</x:f>
        <x:v>16</x:v>
      </x:c>
      <x:c r="O108" t="n">
        <x:f>SUMIF($D$2:$D$267,D108,$J$2:$J$267)</x:f>
        <x:v>905.6582</x:v>
      </x:c>
      <x:c r="P108" t="n">
        <x:f>IF(OR(NOT(ISNUMBER(M108)),O108=0),"",M108*('Conference pools'!$H$2/N108+'Conference pools'!$H$3*J108/O108))</x:f>
        <x:v>0</x:v>
      </x:c>
      <x:c r="Q108" t="n">
        <x:f>IF(COUNTIFS($E$2:$E$267,E108,$X$2:$X$267,"&lt;&gt;")&lt;&gt;COUNTIF($E$2:$E$267,E108),"",SUMIF($E$2:$E$267,E108,$X$2:$X$267))</x:f>
        <x:v>0</x:v>
      </x:c>
      <x:c r="R108" t="n">
        <x:f>COUNTIF($E$2:$E$267,E108)</x:f>
        <x:v>11</x:v>
      </x:c>
      <x:c r="S108" t="n">
        <x:f>SUMIF($E$2:$E$267,E108,$J$2:$J$267)</x:f>
        <x:v>541.5835000000001</x:v>
      </x:c>
      <x:c r="T108" t="n">
        <x:f>IF(OR(NOT(ISNUMBER(Q108)),S108=0),"",Q108*('Conference pools'!$H$2/R108+'Conference pools'!$H$3*J108/S108))</x:f>
        <x:v>0</x:v>
      </x:c>
      <x:c r="U108" t="n">
        <x:f>IF(OR(NOT(ISNUMBER(P108)),NOT(ISNUMBER(T108))),"",T108-P108)</x:f>
        <x:v>0</x:v>
      </x:c>
      <x:c r="V108" s="8" t="str">
        <x:f>IF(OR(NOT(ISNUMBER(U108)),P108=0),"",U108/P108)</x:f>
      </x:c>
      <x:c r="W108" t="str">
        <x:f>IF(OR(NOT(ISNUMBER(T108)),NOT(ISNUMBER(K108))),"",T108-K108)</x:f>
      </x:c>
      <x:c r="X108" t="n">
        <x:f>IF(NOT(ISNUMBER(M108)),"",M108/N108)</x:f>
        <x:v>0</x:v>
      </x:c>
    </x:row>
    <x:row r="109">
      <x:c r="A109" t="str">
        <x:v>NEW_MEXICO</x:v>
      </x:c>
      <x:c r="B109" t="str">
        <x:v>University of New Mexico</x:v>
      </x:c>
      <x:c r="C109" t="str">
        <x:v>FBS</x:v>
      </x:c>
      <x:c r="D109" t="str">
        <x:v>Mountain West</x:v>
      </x:c>
      <x:c r="E109" t="str">
        <x:v>National Mountain</x:v>
      </x:c>
      <x:c r="F109" t="n">
        <x:v>8</x:v>
      </x:c>
      <x:c r="G109" t="n">
        <x:v>0.5125</x:v>
      </x:c>
      <x:c r="H109" t="n">
        <x:v>0.4604</x:v>
      </x:c>
      <x:c r="I109" t="n">
        <x:v>47.782</x:v>
      </x:c>
      <x:c r="J109" t="n">
        <x:f>IF(ISNUMBER(I109),MAX(1,I109),1)</x:f>
        <x:v>47.782</x:v>
      </x:c>
      <x:c r="K109"/>
      <x:c r="L109" t="str">
        <x:v>NOT VERIFIED</x:v>
      </x:c>
      <x:c r="M109" t="n">
        <x:f>IF(COUNTIFS('Conference pools'!$A$2:$A$25,D109,'Conference pools'!$D$2:$D$25,"&gt;=0")=0,"",SUMIF('Conference pools'!$A$2:$A$25,D109,'Conference pools'!$D$2:$D$25))</x:f>
        <x:v>0</x:v>
      </x:c>
      <x:c r="N109" t="n">
        <x:f>COUNTIF($D$2:$D$267,D109)</x:f>
        <x:v>10</x:v>
      </x:c>
      <x:c r="O109" t="n">
        <x:f>SUMIF($D$2:$D$267,D109,$J$2:$J$267)</x:f>
        <x:v>494.2351</x:v>
      </x:c>
      <x:c r="P109" t="n">
        <x:f>IF(OR(NOT(ISNUMBER(M109)),O109=0),"",M109*('Conference pools'!$H$2/N109+'Conference pools'!$H$3*J109/O109))</x:f>
        <x:v>0</x:v>
      </x:c>
      <x:c r="Q109" t="n">
        <x:f>IF(COUNTIFS($E$2:$E$267,E109,$X$2:$X$267,"&lt;&gt;")&lt;&gt;COUNTIF($E$2:$E$267,E109),"",SUMIF($E$2:$E$267,E109,$X$2:$X$267))</x:f>
        <x:v>0</x:v>
      </x:c>
      <x:c r="R109" t="n">
        <x:f>COUNTIF($E$2:$E$267,E109)</x:f>
        <x:v>11</x:v>
      </x:c>
      <x:c r="S109" t="n">
        <x:f>SUMIF($E$2:$E$267,E109,$J$2:$J$267)</x:f>
        <x:v>541.5835000000001</x:v>
      </x:c>
      <x:c r="T109" t="n">
        <x:f>IF(OR(NOT(ISNUMBER(Q109)),S109=0),"",Q109*('Conference pools'!$H$2/R109+'Conference pools'!$H$3*J109/S109))</x:f>
        <x:v>0</x:v>
      </x:c>
      <x:c r="U109" t="n">
        <x:f>IF(OR(NOT(ISNUMBER(P109)),NOT(ISNUMBER(T109))),"",T109-P109)</x:f>
        <x:v>0</x:v>
      </x:c>
      <x:c r="V109" s="8" t="str">
        <x:f>IF(OR(NOT(ISNUMBER(U109)),P109=0),"",U109/P109)</x:f>
      </x:c>
      <x:c r="W109" t="str">
        <x:f>IF(OR(NOT(ISNUMBER(T109)),NOT(ISNUMBER(K109))),"",T109-K109)</x:f>
      </x:c>
      <x:c r="X109" t="n">
        <x:f>IF(NOT(ISNUMBER(M109)),"",M109/N109)</x:f>
        <x:v>0</x:v>
      </x:c>
    </x:row>
    <x:row r="110">
      <x:c r="A110" t="str">
        <x:v>BAYLOR</x:v>
      </x:c>
      <x:c r="B110" t="str">
        <x:v>Baylor University</x:v>
      </x:c>
      <x:c r="C110" t="str">
        <x:v>FBS</x:v>
      </x:c>
      <x:c r="D110" t="str">
        <x:v>Big 12</x:v>
      </x:c>
      <x:c r="E110" t="str">
        <x:v>National Mountain</x:v>
      </x:c>
      <x:c r="F110" t="n">
        <x:v>4</x:v>
      </x:c>
      <x:c r="G110" t="n">
        <x:v>0.4479</x:v>
      </x:c>
      <x:c r="H110" t="n">
        <x:v>0.5422</x:v>
      </x:c>
      <x:c r="I110" t="n">
        <x:v>52.7627</x:v>
      </x:c>
      <x:c r="J110" t="n">
        <x:f>IF(ISNUMBER(I110),MAX(1,I110),1)</x:f>
        <x:v>52.7627</x:v>
      </x:c>
      <x:c r="K110"/>
      <x:c r="L110" t="str">
        <x:v>NOT VERIFIED</x:v>
      </x:c>
      <x:c r="M110" t="n">
        <x:f>IF(COUNTIFS('Conference pools'!$A$2:$A$25,D110,'Conference pools'!$D$2:$D$25,"&gt;=0")=0,"",SUMIF('Conference pools'!$A$2:$A$25,D110,'Conference pools'!$D$2:$D$25))</x:f>
        <x:v>0</x:v>
      </x:c>
      <x:c r="N110" t="n">
        <x:f>COUNTIF($D$2:$D$267,D110)</x:f>
        <x:v>16</x:v>
      </x:c>
      <x:c r="O110" t="n">
        <x:f>SUMIF($D$2:$D$267,D110,$J$2:$J$267)</x:f>
        <x:v>905.6582</x:v>
      </x:c>
      <x:c r="P110" t="n">
        <x:f>IF(OR(NOT(ISNUMBER(M110)),O110=0),"",M110*('Conference pools'!$H$2/N110+'Conference pools'!$H$3*J110/O110))</x:f>
        <x:v>0</x:v>
      </x:c>
      <x:c r="Q110" t="n">
        <x:f>IF(COUNTIFS($E$2:$E$267,E110,$X$2:$X$267,"&lt;&gt;")&lt;&gt;COUNTIF($E$2:$E$267,E110),"",SUMIF($E$2:$E$267,E110,$X$2:$X$267))</x:f>
        <x:v>0</x:v>
      </x:c>
      <x:c r="R110" t="n">
        <x:f>COUNTIF($E$2:$E$267,E110)</x:f>
        <x:v>11</x:v>
      </x:c>
      <x:c r="S110" t="n">
        <x:f>SUMIF($E$2:$E$267,E110,$J$2:$J$267)</x:f>
        <x:v>541.5835000000001</x:v>
      </x:c>
      <x:c r="T110" t="n">
        <x:f>IF(OR(NOT(ISNUMBER(Q110)),S110=0),"",Q110*('Conference pools'!$H$2/R110+'Conference pools'!$H$3*J110/S110))</x:f>
        <x:v>0</x:v>
      </x:c>
      <x:c r="U110" t="n">
        <x:f>IF(OR(NOT(ISNUMBER(P110)),NOT(ISNUMBER(T110))),"",T110-P110)</x:f>
        <x:v>0</x:v>
      </x:c>
      <x:c r="V110" s="8" t="str">
        <x:f>IF(OR(NOT(ISNUMBER(U110)),P110=0),"",U110/P110)</x:f>
      </x:c>
      <x:c r="W110" t="str">
        <x:f>IF(OR(NOT(ISNUMBER(T110)),NOT(ISNUMBER(K110))),"",T110-K110)</x:f>
      </x:c>
      <x:c r="X110" t="n">
        <x:f>IF(NOT(ISNUMBER(M110)),"",M110/N110)</x:f>
        <x:v>0</x:v>
      </x:c>
    </x:row>
    <x:row r="111">
      <x:c r="A111" t="str">
        <x:v>WYOMING</x:v>
      </x:c>
      <x:c r="B111" t="str">
        <x:v>University of Wyoming</x:v>
      </x:c>
      <x:c r="C111" t="str">
        <x:v>FBS</x:v>
      </x:c>
      <x:c r="D111" t="str">
        <x:v>Mountain West</x:v>
      </x:c>
      <x:c r="E111" t="str">
        <x:v>National Mountain</x:v>
      </x:c>
      <x:c r="F111" t="n">
        <x:v>8</x:v>
      </x:c>
      <x:c r="G111" t="n">
        <x:v>0.4015</x:v>
      </x:c>
      <x:c r="H111" t="n">
        <x:v>0.5233</x:v>
      </x:c>
      <x:c r="I111" t="n">
        <x:v>47.8938</x:v>
      </x:c>
      <x:c r="J111" t="n">
        <x:f>IF(ISNUMBER(I111),MAX(1,I111),1)</x:f>
        <x:v>47.8938</x:v>
      </x:c>
      <x:c r="K111"/>
      <x:c r="L111" t="str">
        <x:v>NOT VERIFIED</x:v>
      </x:c>
      <x:c r="M111" t="n">
        <x:f>IF(COUNTIFS('Conference pools'!$A$2:$A$25,D111,'Conference pools'!$D$2:$D$25,"&gt;=0")=0,"",SUMIF('Conference pools'!$A$2:$A$25,D111,'Conference pools'!$D$2:$D$25))</x:f>
        <x:v>0</x:v>
      </x:c>
      <x:c r="N111" t="n">
        <x:f>COUNTIF($D$2:$D$267,D111)</x:f>
        <x:v>10</x:v>
      </x:c>
      <x:c r="O111" t="n">
        <x:f>SUMIF($D$2:$D$267,D111,$J$2:$J$267)</x:f>
        <x:v>494.2351</x:v>
      </x:c>
      <x:c r="P111" t="n">
        <x:f>IF(OR(NOT(ISNUMBER(M111)),O111=0),"",M111*('Conference pools'!$H$2/N111+'Conference pools'!$H$3*J111/O111))</x:f>
        <x:v>0</x:v>
      </x:c>
      <x:c r="Q111" t="n">
        <x:f>IF(COUNTIFS($E$2:$E$267,E111,$X$2:$X$267,"&lt;&gt;")&lt;&gt;COUNTIF($E$2:$E$267,E111),"",SUMIF($E$2:$E$267,E111,$X$2:$X$267))</x:f>
        <x:v>0</x:v>
      </x:c>
      <x:c r="R111" t="n">
        <x:f>COUNTIF($E$2:$E$267,E111)</x:f>
        <x:v>11</x:v>
      </x:c>
      <x:c r="S111" t="n">
        <x:f>SUMIF($E$2:$E$267,E111,$J$2:$J$267)</x:f>
        <x:v>541.5835000000001</x:v>
      </x:c>
      <x:c r="T111" t="n">
        <x:f>IF(OR(NOT(ISNUMBER(Q111)),S111=0),"",Q111*('Conference pools'!$H$2/R111+'Conference pools'!$H$3*J111/S111))</x:f>
        <x:v>0</x:v>
      </x:c>
      <x:c r="U111" t="n">
        <x:f>IF(OR(NOT(ISNUMBER(P111)),NOT(ISNUMBER(T111))),"",T111-P111)</x:f>
        <x:v>0</x:v>
      </x:c>
      <x:c r="V111" s="8" t="str">
        <x:f>IF(OR(NOT(ISNUMBER(U111)),P111=0),"",U111/P111)</x:f>
      </x:c>
      <x:c r="W111" t="str">
        <x:f>IF(OR(NOT(ISNUMBER(T111)),NOT(ISNUMBER(K111))),"",T111-K111)</x:f>
      </x:c>
      <x:c r="X111" t="n">
        <x:f>IF(NOT(ISNUMBER(M111)),"",M111/N111)</x:f>
        <x:v>0</x:v>
      </x:c>
    </x:row>
    <x:row r="112">
      <x:c r="A112" t="str">
        <x:v>COLORADO</x:v>
      </x:c>
      <x:c r="B112" t="str">
        <x:v>University of Colorado Boulder</x:v>
      </x:c>
      <x:c r="C112" t="str">
        <x:v>FBS</x:v>
      </x:c>
      <x:c r="D112" t="str">
        <x:v>Big 12</x:v>
      </x:c>
      <x:c r="E112" t="str">
        <x:v>National Mountain</x:v>
      </x:c>
      <x:c r="F112" t="n">
        <x:v>5</x:v>
      </x:c>
      <x:c r="G112" t="n">
        <x:v>0.4311</x:v>
      </x:c>
      <x:c r="H112" t="n">
        <x:v>0.5683</x:v>
      </x:c>
      <x:c r="I112" t="n">
        <x:v>50.1956</x:v>
      </x:c>
      <x:c r="J112" t="n">
        <x:f>IF(ISNUMBER(I112),MAX(1,I112),1)</x:f>
        <x:v>50.1956</x:v>
      </x:c>
      <x:c r="K112"/>
      <x:c r="L112" t="str">
        <x:v>NOT VERIFIED</x:v>
      </x:c>
      <x:c r="M112" t="n">
        <x:f>IF(COUNTIFS('Conference pools'!$A$2:$A$25,D112,'Conference pools'!$D$2:$D$25,"&gt;=0")=0,"",SUMIF('Conference pools'!$A$2:$A$25,D112,'Conference pools'!$D$2:$D$25))</x:f>
        <x:v>0</x:v>
      </x:c>
      <x:c r="N112" t="n">
        <x:f>COUNTIF($D$2:$D$267,D112)</x:f>
        <x:v>16</x:v>
      </x:c>
      <x:c r="O112" t="n">
        <x:f>SUMIF($D$2:$D$267,D112,$J$2:$J$267)</x:f>
        <x:v>905.6582</x:v>
      </x:c>
      <x:c r="P112" t="n">
        <x:f>IF(OR(NOT(ISNUMBER(M112)),O112=0),"",M112*('Conference pools'!$H$2/N112+'Conference pools'!$H$3*J112/O112))</x:f>
        <x:v>0</x:v>
      </x:c>
      <x:c r="Q112" t="n">
        <x:f>IF(COUNTIFS($E$2:$E$267,E112,$X$2:$X$267,"&lt;&gt;")&lt;&gt;COUNTIF($E$2:$E$267,E112),"",SUMIF($E$2:$E$267,E112,$X$2:$X$267))</x:f>
        <x:v>0</x:v>
      </x:c>
      <x:c r="R112" t="n">
        <x:f>COUNTIF($E$2:$E$267,E112)</x:f>
        <x:v>11</x:v>
      </x:c>
      <x:c r="S112" t="n">
        <x:f>SUMIF($E$2:$E$267,E112,$J$2:$J$267)</x:f>
        <x:v>541.5835000000001</x:v>
      </x:c>
      <x:c r="T112" t="n">
        <x:f>IF(OR(NOT(ISNUMBER(Q112)),S112=0),"",Q112*('Conference pools'!$H$2/R112+'Conference pools'!$H$3*J112/S112))</x:f>
        <x:v>0</x:v>
      </x:c>
      <x:c r="U112" t="n">
        <x:f>IF(OR(NOT(ISNUMBER(P112)),NOT(ISNUMBER(T112))),"",T112-P112)</x:f>
        <x:v>0</x:v>
      </x:c>
      <x:c r="V112" s="8" t="str">
        <x:f>IF(OR(NOT(ISNUMBER(U112)),P112=0),"",U112/P112)</x:f>
      </x:c>
      <x:c r="W112" t="str">
        <x:f>IF(OR(NOT(ISNUMBER(T112)),NOT(ISNUMBER(K112))),"",T112-K112)</x:f>
      </x:c>
      <x:c r="X112" t="n">
        <x:f>IF(NOT(ISNUMBER(M112)),"",M112/N112)</x:f>
        <x:v>0</x:v>
      </x:c>
    </x:row>
    <x:row r="113">
      <x:c r="A113" t="str">
        <x:v>COLORADO_STATE</x:v>
      </x:c>
      <x:c r="B113" t="str">
        <x:v>Colorado State University</x:v>
      </x:c>
      <x:c r="C113" t="str">
        <x:v>FBS</x:v>
      </x:c>
      <x:c r="D113" t="str">
        <x:v>Pac-12</x:v>
      </x:c>
      <x:c r="E113" t="str">
        <x:v>National Mountain</x:v>
      </x:c>
      <x:c r="F113" t="n">
        <x:v>10</x:v>
      </x:c>
      <x:c r="G113" t="n">
        <x:v>0.3911</x:v>
      </x:c>
      <x:c r="H113" t="n">
        <x:v>0.4863</x:v>
      </x:c>
      <x:c r="I113" t="n">
        <x:v>44.7925</x:v>
      </x:c>
      <x:c r="J113" t="n">
        <x:f>IF(ISNUMBER(I113),MAX(1,I113),1)</x:f>
        <x:v>44.7925</x:v>
      </x:c>
      <x:c r="K113"/>
      <x:c r="L113" t="str">
        <x:v>NOT VERIFIED</x:v>
      </x:c>
      <x:c r="M113" t="n">
        <x:f>IF(COUNTIFS('Conference pools'!$A$2:$A$25,D113,'Conference pools'!$D$2:$D$25,"&gt;=0")=0,"",SUMIF('Conference pools'!$A$2:$A$25,D113,'Conference pools'!$D$2:$D$25))</x:f>
        <x:v>0</x:v>
      </x:c>
      <x:c r="N113" t="n">
        <x:f>COUNTIF($D$2:$D$267,D113)</x:f>
        <x:v>8</x:v>
      </x:c>
      <x:c r="O113" t="n">
        <x:f>SUMIF($D$2:$D$267,D113,$J$2:$J$267)</x:f>
        <x:v>423.8017</x:v>
      </x:c>
      <x:c r="P113" t="n">
        <x:f>IF(OR(NOT(ISNUMBER(M113)),O113=0),"",M113*('Conference pools'!$H$2/N113+'Conference pools'!$H$3*J113/O113))</x:f>
        <x:v>0</x:v>
      </x:c>
      <x:c r="Q113" t="n">
        <x:f>IF(COUNTIFS($E$2:$E$267,E113,$X$2:$X$267,"&lt;&gt;")&lt;&gt;COUNTIF($E$2:$E$267,E113),"",SUMIF($E$2:$E$267,E113,$X$2:$X$267))</x:f>
        <x:v>0</x:v>
      </x:c>
      <x:c r="R113" t="n">
        <x:f>COUNTIF($E$2:$E$267,E113)</x:f>
        <x:v>11</x:v>
      </x:c>
      <x:c r="S113" t="n">
        <x:f>SUMIF($E$2:$E$267,E113,$J$2:$J$267)</x:f>
        <x:v>541.5835000000001</x:v>
      </x:c>
      <x:c r="T113" t="n">
        <x:f>IF(OR(NOT(ISNUMBER(Q113)),S113=0),"",Q113*('Conference pools'!$H$2/R113+'Conference pools'!$H$3*J113/S113))</x:f>
        <x:v>0</x:v>
      </x:c>
      <x:c r="U113" t="n">
        <x:f>IF(OR(NOT(ISNUMBER(P113)),NOT(ISNUMBER(T113))),"",T113-P113)</x:f>
        <x:v>0</x:v>
      </x:c>
      <x:c r="V113" s="8" t="str">
        <x:f>IF(OR(NOT(ISNUMBER(U113)),P113=0),"",U113/P113)</x:f>
      </x:c>
      <x:c r="W113" t="str">
        <x:f>IF(OR(NOT(ISNUMBER(T113)),NOT(ISNUMBER(K113))),"",T113-K113)</x:f>
      </x:c>
      <x:c r="X113" t="n">
        <x:f>IF(NOT(ISNUMBER(M113)),"",M113/N113)</x:f>
        <x:v>0</x:v>
      </x:c>
    </x:row>
    <x:row r="114">
      <x:c r="A114" t="str">
        <x:v>ARKANSAS</x:v>
      </x:c>
      <x:c r="B114" t="str">
        <x:v>University of Arkansas</x:v>
      </x:c>
      <x:c r="C114" t="str">
        <x:v>FBS</x:v>
      </x:c>
      <x:c r="D114" t="str">
        <x:v>Southeastern Conference</x:v>
      </x:c>
      <x:c r="E114" t="str">
        <x:v>National Mountain</x:v>
      </x:c>
      <x:c r="F114" t="n">
        <x:v>6</x:v>
      </x:c>
      <x:c r="G114" t="n">
        <x:v>0.3426</x:v>
      </x:c>
      <x:c r="H114" t="n">
        <x:v>0.5648</x:v>
      </x:c>
      <x:c r="I114" t="n">
        <x:v>49.0781</x:v>
      </x:c>
      <x:c r="J114" t="n">
        <x:f>IF(ISNUMBER(I114),MAX(1,I114),1)</x:f>
        <x:v>49.0781</x:v>
      </x:c>
      <x:c r="K114"/>
      <x:c r="L114" t="str">
        <x:v>NOT VERIFIED</x:v>
      </x:c>
      <x:c r="M114" t="n">
        <x:f>IF(COUNTIFS('Conference pools'!$A$2:$A$25,D114,'Conference pools'!$D$2:$D$25,"&gt;=0")=0,"",SUMIF('Conference pools'!$A$2:$A$25,D114,'Conference pools'!$D$2:$D$25))</x:f>
        <x:v>0</x:v>
      </x:c>
      <x:c r="N114" t="n">
        <x:f>COUNTIF($D$2:$D$267,D114)</x:f>
        <x:v>16</x:v>
      </x:c>
      <x:c r="O114" t="n">
        <x:f>SUMIF($D$2:$D$267,D114,$J$2:$J$267)</x:f>
        <x:v>979.9415</x:v>
      </x:c>
      <x:c r="P114" t="n">
        <x:f>IF(OR(NOT(ISNUMBER(M114)),O114=0),"",M114*('Conference pools'!$H$2/N114+'Conference pools'!$H$3*J114/O114))</x:f>
        <x:v>0</x:v>
      </x:c>
      <x:c r="Q114" t="n">
        <x:f>IF(COUNTIFS($E$2:$E$267,E114,$X$2:$X$267,"&lt;&gt;")&lt;&gt;COUNTIF($E$2:$E$267,E114),"",SUMIF($E$2:$E$267,E114,$X$2:$X$267))</x:f>
        <x:v>0</x:v>
      </x:c>
      <x:c r="R114" t="n">
        <x:f>COUNTIF($E$2:$E$267,E114)</x:f>
        <x:v>11</x:v>
      </x:c>
      <x:c r="S114" t="n">
        <x:f>SUMIF($E$2:$E$267,E114,$J$2:$J$267)</x:f>
        <x:v>541.5835000000001</x:v>
      </x:c>
      <x:c r="T114" t="n">
        <x:f>IF(OR(NOT(ISNUMBER(Q114)),S114=0),"",Q114*('Conference pools'!$H$2/R114+'Conference pools'!$H$3*J114/S114))</x:f>
        <x:v>0</x:v>
      </x:c>
      <x:c r="U114" t="n">
        <x:f>IF(OR(NOT(ISNUMBER(P114)),NOT(ISNUMBER(T114))),"",T114-P114)</x:f>
        <x:v>0</x:v>
      </x:c>
      <x:c r="V114" s="8" t="str">
        <x:f>IF(OR(NOT(ISNUMBER(U114)),P114=0),"",U114/P114)</x:f>
      </x:c>
      <x:c r="W114" t="str">
        <x:f>IF(OR(NOT(ISNUMBER(T114)),NOT(ISNUMBER(K114))),"",T114-K114)</x:f>
      </x:c>
      <x:c r="X114" t="n">
        <x:f>IF(NOT(ISNUMBER(M114)),"",M114/N114)</x:f>
        <x:v>0</x:v>
      </x:c>
    </x:row>
    <x:row r="115">
      <x:c r="A115" t="str">
        <x:v>OKLAHOMA_STATE</x:v>
      </x:c>
      <x:c r="B115" t="str">
        <x:v>Oklahoma State University</x:v>
      </x:c>
      <x:c r="C115" t="str">
        <x:v>FBS</x:v>
      </x:c>
      <x:c r="D115" t="str">
        <x:v>Big 12</x:v>
      </x:c>
      <x:c r="E115" t="str">
        <x:v>National Mountain</x:v>
      </x:c>
      <x:c r="F115" t="n">
        <x:v>7</x:v>
      </x:c>
      <x:c r="G115" t="n">
        <x:v>0.3171</x:v>
      </x:c>
      <x:c r="H115" t="n">
        <x:v>0.5836</x:v>
      </x:c>
      <x:c r="I115" t="n">
        <x:v>48.3736</x:v>
      </x:c>
      <x:c r="J115" t="n">
        <x:f>IF(ISNUMBER(I115),MAX(1,I115),1)</x:f>
        <x:v>48.3736</x:v>
      </x:c>
      <x:c r="K115"/>
      <x:c r="L115" t="str">
        <x:v>NOT VERIFIED</x:v>
      </x:c>
      <x:c r="M115" t="n">
        <x:f>IF(COUNTIFS('Conference pools'!$A$2:$A$25,D115,'Conference pools'!$D$2:$D$25,"&gt;=0")=0,"",SUMIF('Conference pools'!$A$2:$A$25,D115,'Conference pools'!$D$2:$D$25))</x:f>
        <x:v>0</x:v>
      </x:c>
      <x:c r="N115" t="n">
        <x:f>COUNTIF($D$2:$D$267,D115)</x:f>
        <x:v>16</x:v>
      </x:c>
      <x:c r="O115" t="n">
        <x:f>SUMIF($D$2:$D$267,D115,$J$2:$J$267)</x:f>
        <x:v>905.6582</x:v>
      </x:c>
      <x:c r="P115" t="n">
        <x:f>IF(OR(NOT(ISNUMBER(M115)),O115=0),"",M115*('Conference pools'!$H$2/N115+'Conference pools'!$H$3*J115/O115))</x:f>
        <x:v>0</x:v>
      </x:c>
      <x:c r="Q115" t="n">
        <x:f>IF(COUNTIFS($E$2:$E$267,E115,$X$2:$X$267,"&lt;&gt;")&lt;&gt;COUNTIF($E$2:$E$267,E115),"",SUMIF($E$2:$E$267,E115,$X$2:$X$267))</x:f>
        <x:v>0</x:v>
      </x:c>
      <x:c r="R115" t="n">
        <x:f>COUNTIF($E$2:$E$267,E115)</x:f>
        <x:v>11</x:v>
      </x:c>
      <x:c r="S115" t="n">
        <x:f>SUMIF($E$2:$E$267,E115,$J$2:$J$267)</x:f>
        <x:v>541.5835000000001</x:v>
      </x:c>
      <x:c r="T115" t="n">
        <x:f>IF(OR(NOT(ISNUMBER(Q115)),S115=0),"",Q115*('Conference pools'!$H$2/R115+'Conference pools'!$H$3*J115/S115))</x:f>
        <x:v>0</x:v>
      </x:c>
      <x:c r="U115" t="n">
        <x:f>IF(OR(NOT(ISNUMBER(P115)),NOT(ISNUMBER(T115))),"",T115-P115)</x:f>
        <x:v>0</x:v>
      </x:c>
      <x:c r="V115" s="8" t="str">
        <x:f>IF(OR(NOT(ISNUMBER(U115)),P115=0),"",U115/P115)</x:f>
      </x:c>
      <x:c r="W115" t="str">
        <x:f>IF(OR(NOT(ISNUMBER(T115)),NOT(ISNUMBER(K115))),"",T115-K115)</x:f>
      </x:c>
      <x:c r="X115" t="n">
        <x:f>IF(NOT(ISNUMBER(M115)),"",M115/N115)</x:f>
        <x:v>0</x:v>
      </x:c>
    </x:row>
    <x:row r="116">
      <x:c r="A116" t="str">
        <x:v>TULSA</x:v>
      </x:c>
      <x:c r="B116" t="str">
        <x:v>University of Tulsa</x:v>
      </x:c>
      <x:c r="C116" t="str">
        <x:v>FBS</x:v>
      </x:c>
      <x:c r="D116" t="str">
        <x:v>American Athletic</x:v>
      </x:c>
      <x:c r="E116" t="str">
        <x:v>National Mountain</x:v>
      </x:c>
      <x:c r="F116" t="n">
        <x:v>15</x:v>
      </x:c>
      <x:c r="G116" t="n">
        <x:v>0.3046</x:v>
      </x:c>
      <x:c r="H116" t="n">
        <x:v>0.4618</x:v>
      </x:c>
      <x:c r="I116" t="n">
        <x:v>41.159</x:v>
      </x:c>
      <x:c r="J116" t="n">
        <x:f>IF(ISNUMBER(I116),MAX(1,I116),1)</x:f>
        <x:v>41.159</x:v>
      </x:c>
      <x:c r="K116"/>
      <x:c r="L116" t="str">
        <x:v>NOT VERIFIED</x:v>
      </x:c>
      <x:c r="M116" t="n">
        <x:f>IF(COUNTIFS('Conference pools'!$A$2:$A$25,D116,'Conference pools'!$D$2:$D$25,"&gt;=0")=0,"",SUMIF('Conference pools'!$A$2:$A$25,D116,'Conference pools'!$D$2:$D$25))</x:f>
        <x:v>0</x:v>
      </x:c>
      <x:c r="N116" t="n">
        <x:f>COUNTIF($D$2:$D$267,D116)</x:f>
        <x:v>14</x:v>
      </x:c>
      <x:c r="O116" t="n">
        <x:f>SUMIF($D$2:$D$267,D116,$J$2:$J$267)</x:f>
        <x:v>720.9868000000001</x:v>
      </x:c>
      <x:c r="P116" t="n">
        <x:f>IF(OR(NOT(ISNUMBER(M116)),O116=0),"",M116*('Conference pools'!$H$2/N116+'Conference pools'!$H$3*J116/O116))</x:f>
        <x:v>0</x:v>
      </x:c>
      <x:c r="Q116" t="n">
        <x:f>IF(COUNTIFS($E$2:$E$267,E116,$X$2:$X$267,"&lt;&gt;")&lt;&gt;COUNTIF($E$2:$E$267,E116),"",SUMIF($E$2:$E$267,E116,$X$2:$X$267))</x:f>
        <x:v>0</x:v>
      </x:c>
      <x:c r="R116" t="n">
        <x:f>COUNTIF($E$2:$E$267,E116)</x:f>
        <x:v>11</x:v>
      </x:c>
      <x:c r="S116" t="n">
        <x:f>SUMIF($E$2:$E$267,E116,$J$2:$J$267)</x:f>
        <x:v>541.5835000000001</x:v>
      </x:c>
      <x:c r="T116" t="n">
        <x:f>IF(OR(NOT(ISNUMBER(Q116)),S116=0),"",Q116*('Conference pools'!$H$2/R116+'Conference pools'!$H$3*J116/S116))</x:f>
        <x:v>0</x:v>
      </x:c>
      <x:c r="U116" t="n">
        <x:f>IF(OR(NOT(ISNUMBER(P116)),NOT(ISNUMBER(T116))),"",T116-P116)</x:f>
        <x:v>0</x:v>
      </x:c>
      <x:c r="V116" s="8" t="str">
        <x:f>IF(OR(NOT(ISNUMBER(U116)),P116=0),"",U116/P116)</x:f>
      </x:c>
      <x:c r="W116" t="str">
        <x:f>IF(OR(NOT(ISNUMBER(T116)),NOT(ISNUMBER(K116))),"",T116-K116)</x:f>
      </x:c>
      <x:c r="X116" t="n">
        <x:f>IF(NOT(ISNUMBER(M116)),"",M116/N116)</x:f>
        <x:v>0</x:v>
      </x:c>
    </x:row>
    <x:row r="117">
      <x:c r="A117" t="str">
        <x:v>HAWAII</x:v>
      </x:c>
      <x:c r="B117" t="str">
        <x:v>University of Hawaiʻi at Mānoa</x:v>
      </x:c>
      <x:c r="C117" t="str">
        <x:v>FBS</x:v>
      </x:c>
      <x:c r="D117" t="str">
        <x:v>Mountain West</x:v>
      </x:c>
      <x:c r="E117" t="str">
        <x:v>National Pacific</x:v>
      </x:c>
      <x:c r="F117" t="n">
        <x:v>6</x:v>
      </x:c>
      <x:c r="G117" t="n">
        <x:v>0.5223</x:v>
      </x:c>
      <x:c r="H117" t="n">
        <x:v>0.4522</x:v>
      </x:c>
      <x:c r="I117" t="n">
        <x:v>49.3251</x:v>
      </x:c>
      <x:c r="J117" t="n">
        <x:f>IF(ISNUMBER(I117),MAX(1,I117),1)</x:f>
        <x:v>49.3251</x:v>
      </x:c>
      <x:c r="K117"/>
      <x:c r="L117" t="str">
        <x:v>NOT VERIFIED</x:v>
      </x:c>
      <x:c r="M117" t="n">
        <x:f>IF(COUNTIFS('Conference pools'!$A$2:$A$25,D117,'Conference pools'!$D$2:$D$25,"&gt;=0")=0,"",SUMIF('Conference pools'!$A$2:$A$25,D117,'Conference pools'!$D$2:$D$25))</x:f>
        <x:v>0</x:v>
      </x:c>
      <x:c r="N117" t="n">
        <x:f>COUNTIF($D$2:$D$267,D117)</x:f>
        <x:v>10</x:v>
      </x:c>
      <x:c r="O117" t="n">
        <x:f>SUMIF($D$2:$D$267,D117,$J$2:$J$267)</x:f>
        <x:v>494.2351</x:v>
      </x:c>
      <x:c r="P117" t="n">
        <x:f>IF(OR(NOT(ISNUMBER(M117)),O117=0),"",M117*('Conference pools'!$H$2/N117+'Conference pools'!$H$3*J117/O117))</x:f>
        <x:v>0</x:v>
      </x:c>
      <x:c r="Q117" t="n">
        <x:f>IF(COUNTIFS($E$2:$E$267,E117,$X$2:$X$267,"&lt;&gt;")&lt;&gt;COUNTIF($E$2:$E$267,E117),"",SUMIF($E$2:$E$267,E117,$X$2:$X$267))</x:f>
        <x:v>0</x:v>
      </x:c>
      <x:c r="R117" t="n">
        <x:f>COUNTIF($E$2:$E$267,E117)</x:f>
        <x:v>11</x:v>
      </x:c>
      <x:c r="S117" t="n">
        <x:f>SUMIF($E$2:$E$267,E117,$J$2:$J$267)</x:f>
        <x:v>512.6662000000001</x:v>
      </x:c>
      <x:c r="T117" t="n">
        <x:f>IF(OR(NOT(ISNUMBER(Q117)),S117=0),"",Q117*('Conference pools'!$H$2/R117+'Conference pools'!$H$3*J117/S117))</x:f>
        <x:v>0</x:v>
      </x:c>
      <x:c r="U117" t="n">
        <x:f>IF(OR(NOT(ISNUMBER(P117)),NOT(ISNUMBER(T117))),"",T117-P117)</x:f>
        <x:v>0</x:v>
      </x:c>
      <x:c r="V117" s="8" t="str">
        <x:f>IF(OR(NOT(ISNUMBER(U117)),P117=0),"",U117/P117)</x:f>
      </x:c>
      <x:c r="W117" t="str">
        <x:f>IF(OR(NOT(ISNUMBER(T117)),NOT(ISNUMBER(K117))),"",T117-K117)</x:f>
      </x:c>
      <x:c r="X117" t="n">
        <x:f>IF(NOT(ISNUMBER(M117)),"",M117/N117)</x:f>
        <x:v>0</x:v>
      </x:c>
    </x:row>
    <x:row r="118">
      <x:c r="A118" t="str">
        <x:v>CALIFORNIA</x:v>
      </x:c>
      <x:c r="B118" t="str">
        <x:v>University of California Berkeley</x:v>
      </x:c>
      <x:c r="C118" t="str">
        <x:v>FBS</x:v>
      </x:c>
      <x:c r="D118" t="str">
        <x:v>Atlantic Coast Conference</x:v>
      </x:c>
      <x:c r="E118" t="str">
        <x:v>National Pacific</x:v>
      </x:c>
      <x:c r="F118" t="n">
        <x:v>4</x:v>
      </x:c>
      <x:c r="G118" t="n">
        <x:v>0.4925</x:v>
      </x:c>
      <x:c r="H118" t="n">
        <x:v>0.5246</x:v>
      </x:c>
      <x:c r="I118" t="n">
        <x:v>52.4919</x:v>
      </x:c>
      <x:c r="J118" t="n">
        <x:f>IF(ISNUMBER(I118),MAX(1,I118),1)</x:f>
        <x:v>52.4919</x:v>
      </x:c>
      <x:c r="K118"/>
      <x:c r="L118" t="str">
        <x:v>NOT VERIFIED</x:v>
      </x:c>
      <x:c r="M118" t="n">
        <x:f>IF(COUNTIFS('Conference pools'!$A$2:$A$25,D118,'Conference pools'!$D$2:$D$25,"&gt;=0")=0,"",SUMIF('Conference pools'!$A$2:$A$25,D118,'Conference pools'!$D$2:$D$25))</x:f>
        <x:v>0</x:v>
      </x:c>
      <x:c r="N118" t="n">
        <x:f>COUNTIF($D$2:$D$267,D118)</x:f>
        <x:v>17</x:v>
      </x:c>
      <x:c r="O118" t="n">
        <x:f>SUMIF($D$2:$D$267,D118,$J$2:$J$267)</x:f>
        <x:v>952.8619000000001</x:v>
      </x:c>
      <x:c r="P118" t="n">
        <x:f>IF(OR(NOT(ISNUMBER(M118)),O118=0),"",M118*('Conference pools'!$H$2/N118+'Conference pools'!$H$3*J118/O118))</x:f>
        <x:v>0</x:v>
      </x:c>
      <x:c r="Q118" t="n">
        <x:f>IF(COUNTIFS($E$2:$E$267,E118,$X$2:$X$267,"&lt;&gt;")&lt;&gt;COUNTIF($E$2:$E$267,E118),"",SUMIF($E$2:$E$267,E118,$X$2:$X$267))</x:f>
        <x:v>0</x:v>
      </x:c>
      <x:c r="R118" t="n">
        <x:f>COUNTIF($E$2:$E$267,E118)</x:f>
        <x:v>11</x:v>
      </x:c>
      <x:c r="S118" t="n">
        <x:f>SUMIF($E$2:$E$267,E118,$J$2:$J$267)</x:f>
        <x:v>512.6662000000001</x:v>
      </x:c>
      <x:c r="T118" t="n">
        <x:f>IF(OR(NOT(ISNUMBER(Q118)),S118=0),"",Q118*('Conference pools'!$H$2/R118+'Conference pools'!$H$3*J118/S118))</x:f>
        <x:v>0</x:v>
      </x:c>
      <x:c r="U118" t="n">
        <x:f>IF(OR(NOT(ISNUMBER(P118)),NOT(ISNUMBER(T118))),"",T118-P118)</x:f>
        <x:v>0</x:v>
      </x:c>
      <x:c r="V118" s="8" t="str">
        <x:f>IF(OR(NOT(ISNUMBER(U118)),P118=0),"",U118/P118)</x:f>
      </x:c>
      <x:c r="W118" t="str">
        <x:f>IF(OR(NOT(ISNUMBER(T118)),NOT(ISNUMBER(K118))),"",T118-K118)</x:f>
      </x:c>
      <x:c r="X118" t="n">
        <x:f>IF(NOT(ISNUMBER(M118)),"",M118/N118)</x:f>
        <x:v>0</x:v>
      </x:c>
    </x:row>
    <x:row r="119">
      <x:c r="A119" t="str">
        <x:v>SAN_DIEGO_STATE</x:v>
      </x:c>
      <x:c r="B119" t="str">
        <x:v>San Diego State University</x:v>
      </x:c>
      <x:c r="C119" t="str">
        <x:v>FBS</x:v>
      </x:c>
      <x:c r="D119" t="str">
        <x:v>Pac-12</x:v>
      </x:c>
      <x:c r="E119" t="str">
        <x:v>National Pacific</x:v>
      </x:c>
      <x:c r="F119" t="n">
        <x:v>5</x:v>
      </x:c>
      <x:c r="G119" t="n">
        <x:v>0.4569</x:v>
      </x:c>
      <x:c r="H119" t="n">
        <x:v>0.4885</x:v>
      </x:c>
      <x:c r="I119" t="n">
        <x:v>50.7777</x:v>
      </x:c>
      <x:c r="J119" t="n">
        <x:f>IF(ISNUMBER(I119),MAX(1,I119),1)</x:f>
        <x:v>50.7777</x:v>
      </x:c>
      <x:c r="K119"/>
      <x:c r="L119" t="str">
        <x:v>NOT VERIFIED</x:v>
      </x:c>
      <x:c r="M119" t="n">
        <x:f>IF(COUNTIFS('Conference pools'!$A$2:$A$25,D119,'Conference pools'!$D$2:$D$25,"&gt;=0")=0,"",SUMIF('Conference pools'!$A$2:$A$25,D119,'Conference pools'!$D$2:$D$25))</x:f>
        <x:v>0</x:v>
      </x:c>
      <x:c r="N119" t="n">
        <x:f>COUNTIF($D$2:$D$267,D119)</x:f>
        <x:v>8</x:v>
      </x:c>
      <x:c r="O119" t="n">
        <x:f>SUMIF($D$2:$D$267,D119,$J$2:$J$267)</x:f>
        <x:v>423.8017</x:v>
      </x:c>
      <x:c r="P119" t="n">
        <x:f>IF(OR(NOT(ISNUMBER(M119)),O119=0),"",M119*('Conference pools'!$H$2/N119+'Conference pools'!$H$3*J119/O119))</x:f>
        <x:v>0</x:v>
      </x:c>
      <x:c r="Q119" t="n">
        <x:f>IF(COUNTIFS($E$2:$E$267,E119,$X$2:$X$267,"&lt;&gt;")&lt;&gt;COUNTIF($E$2:$E$267,E119),"",SUMIF($E$2:$E$267,E119,$X$2:$X$267))</x:f>
        <x:v>0</x:v>
      </x:c>
      <x:c r="R119" t="n">
        <x:f>COUNTIF($E$2:$E$267,E119)</x:f>
        <x:v>11</x:v>
      </x:c>
      <x:c r="S119" t="n">
        <x:f>SUMIF($E$2:$E$267,E119,$J$2:$J$267)</x:f>
        <x:v>512.6662000000001</x:v>
      </x:c>
      <x:c r="T119" t="n">
        <x:f>IF(OR(NOT(ISNUMBER(Q119)),S119=0),"",Q119*('Conference pools'!$H$2/R119+'Conference pools'!$H$3*J119/S119))</x:f>
        <x:v>0</x:v>
      </x:c>
      <x:c r="U119" t="n">
        <x:f>IF(OR(NOT(ISNUMBER(P119)),NOT(ISNUMBER(T119))),"",T119-P119)</x:f>
        <x:v>0</x:v>
      </x:c>
      <x:c r="V119" s="8" t="str">
        <x:f>IF(OR(NOT(ISNUMBER(U119)),P119=0),"",U119/P119)</x:f>
      </x:c>
      <x:c r="W119" t="str">
        <x:f>IF(OR(NOT(ISNUMBER(T119)),NOT(ISNUMBER(K119))),"",T119-K119)</x:f>
      </x:c>
      <x:c r="X119" t="n">
        <x:f>IF(NOT(ISNUMBER(M119)),"",M119/N119)</x:f>
        <x:v>0</x:v>
      </x:c>
    </x:row>
    <x:row r="120">
      <x:c r="A120" t="str">
        <x:v>SAN_JOSE_STATE</x:v>
      </x:c>
      <x:c r="B120" t="str">
        <x:v>San José State University</x:v>
      </x:c>
      <x:c r="C120" t="str">
        <x:v>FBS</x:v>
      </x:c>
      <x:c r="D120" t="str">
        <x:v>Mountain West</x:v>
      </x:c>
      <x:c r="E120" t="str">
        <x:v>National Pacific</x:v>
      </x:c>
      <x:c r="F120" t="n">
        <x:v>8</x:v>
      </x:c>
      <x:c r="G120" t="n">
        <x:v>0.4279</x:v>
      </x:c>
      <x:c r="H120" t="n">
        <x:v>0.4966</x:v>
      </x:c>
      <x:c r="I120" t="n">
        <x:v>47.7222</x:v>
      </x:c>
      <x:c r="J120" t="n">
        <x:f>IF(ISNUMBER(I120),MAX(1,I120),1)</x:f>
        <x:v>47.7222</x:v>
      </x:c>
      <x:c r="K120"/>
      <x:c r="L120" t="str">
        <x:v>NOT VERIFIED</x:v>
      </x:c>
      <x:c r="M120" t="n">
        <x:f>IF(COUNTIFS('Conference pools'!$A$2:$A$25,D120,'Conference pools'!$D$2:$D$25,"&gt;=0")=0,"",SUMIF('Conference pools'!$A$2:$A$25,D120,'Conference pools'!$D$2:$D$25))</x:f>
        <x:v>0</x:v>
      </x:c>
      <x:c r="N120" t="n">
        <x:f>COUNTIF($D$2:$D$267,D120)</x:f>
        <x:v>10</x:v>
      </x:c>
      <x:c r="O120" t="n">
        <x:f>SUMIF($D$2:$D$267,D120,$J$2:$J$267)</x:f>
        <x:v>494.2351</x:v>
      </x:c>
      <x:c r="P120" t="n">
        <x:f>IF(OR(NOT(ISNUMBER(M120)),O120=0),"",M120*('Conference pools'!$H$2/N120+'Conference pools'!$H$3*J120/O120))</x:f>
        <x:v>0</x:v>
      </x:c>
      <x:c r="Q120" t="n">
        <x:f>IF(COUNTIFS($E$2:$E$267,E120,$X$2:$X$267,"&lt;&gt;")&lt;&gt;COUNTIF($E$2:$E$267,E120),"",SUMIF($E$2:$E$267,E120,$X$2:$X$267))</x:f>
        <x:v>0</x:v>
      </x:c>
      <x:c r="R120" t="n">
        <x:f>COUNTIF($E$2:$E$267,E120)</x:f>
        <x:v>11</x:v>
      </x:c>
      <x:c r="S120" t="n">
        <x:f>SUMIF($E$2:$E$267,E120,$J$2:$J$267)</x:f>
        <x:v>512.6662000000001</x:v>
      </x:c>
      <x:c r="T120" t="n">
        <x:f>IF(OR(NOT(ISNUMBER(Q120)),S120=0),"",Q120*('Conference pools'!$H$2/R120+'Conference pools'!$H$3*J120/S120))</x:f>
        <x:v>0</x:v>
      </x:c>
      <x:c r="U120" t="n">
        <x:f>IF(OR(NOT(ISNUMBER(P120)),NOT(ISNUMBER(T120))),"",T120-P120)</x:f>
        <x:v>0</x:v>
      </x:c>
      <x:c r="V120" s="8" t="str">
        <x:f>IF(OR(NOT(ISNUMBER(U120)),P120=0),"",U120/P120)</x:f>
      </x:c>
      <x:c r="W120" t="str">
        <x:f>IF(OR(NOT(ISNUMBER(T120)),NOT(ISNUMBER(K120))),"",T120-K120)</x:f>
      </x:c>
      <x:c r="X120" t="n">
        <x:f>IF(NOT(ISNUMBER(M120)),"",M120/N120)</x:f>
        <x:v>0</x:v>
      </x:c>
    </x:row>
    <x:row r="121">
      <x:c r="A121" t="str">
        <x:v>UCLA</x:v>
      </x:c>
      <x:c r="B121" t="str">
        <x:v>University of California Los Angeles</x:v>
      </x:c>
      <x:c r="C121" t="str">
        <x:v>FBS</x:v>
      </x:c>
      <x:c r="D121" t="str">
        <x:v>Big Ten</x:v>
      </x:c>
      <x:c r="E121" t="str">
        <x:v>National Pacific</x:v>
      </x:c>
      <x:c r="F121" t="n">
        <x:v>5</x:v>
      </x:c>
      <x:c r="G121" t="n">
        <x:v>0.4043</x:v>
      </x:c>
      <x:c r="H121" t="n">
        <x:v>0.6016</x:v>
      </x:c>
      <x:c r="I121" t="n">
        <x:v>51.4045</x:v>
      </x:c>
      <x:c r="J121" t="n">
        <x:f>IF(ISNUMBER(I121),MAX(1,I121),1)</x:f>
        <x:v>51.4045</x:v>
      </x:c>
      <x:c r="K121"/>
      <x:c r="L121" t="str">
        <x:v>NOT VERIFIED</x:v>
      </x:c>
      <x:c r="M121" t="n">
        <x:f>IF(COUNTIFS('Conference pools'!$A$2:$A$25,D121,'Conference pools'!$D$2:$D$25,"&gt;=0")=0,"",SUMIF('Conference pools'!$A$2:$A$25,D121,'Conference pools'!$D$2:$D$25))</x:f>
        <x:v>0</x:v>
      </x:c>
      <x:c r="N121" t="n">
        <x:f>COUNTIF($D$2:$D$267,D121)</x:f>
        <x:v>18</x:v>
      </x:c>
      <x:c r="O121" t="n">
        <x:f>SUMIF($D$2:$D$267,D121,$J$2:$J$267)</x:f>
        <x:v>1068.7005</x:v>
      </x:c>
      <x:c r="P121" t="n">
        <x:f>IF(OR(NOT(ISNUMBER(M121)),O121=0),"",M121*('Conference pools'!$H$2/N121+'Conference pools'!$H$3*J121/O121))</x:f>
        <x:v>0</x:v>
      </x:c>
      <x:c r="Q121" t="n">
        <x:f>IF(COUNTIFS($E$2:$E$267,E121,$X$2:$X$267,"&lt;&gt;")&lt;&gt;COUNTIF($E$2:$E$267,E121),"",SUMIF($E$2:$E$267,E121,$X$2:$X$267))</x:f>
        <x:v>0</x:v>
      </x:c>
      <x:c r="R121" t="n">
        <x:f>COUNTIF($E$2:$E$267,E121)</x:f>
        <x:v>11</x:v>
      </x:c>
      <x:c r="S121" t="n">
        <x:f>SUMIF($E$2:$E$267,E121,$J$2:$J$267)</x:f>
        <x:v>512.6662000000001</x:v>
      </x:c>
      <x:c r="T121" t="n">
        <x:f>IF(OR(NOT(ISNUMBER(Q121)),S121=0),"",Q121*('Conference pools'!$H$2/R121+'Conference pools'!$H$3*J121/S121))</x:f>
        <x:v>0</x:v>
      </x:c>
      <x:c r="U121" t="n">
        <x:f>IF(OR(NOT(ISNUMBER(P121)),NOT(ISNUMBER(T121))),"",T121-P121)</x:f>
        <x:v>0</x:v>
      </x:c>
      <x:c r="V121" s="8" t="str">
        <x:f>IF(OR(NOT(ISNUMBER(U121)),P121=0),"",U121/P121)</x:f>
      </x:c>
      <x:c r="W121" t="str">
        <x:f>IF(OR(NOT(ISNUMBER(T121)),NOT(ISNUMBER(K121))),"",T121-K121)</x:f>
      </x:c>
      <x:c r="X121" t="n">
        <x:f>IF(NOT(ISNUMBER(M121)),"",M121/N121)</x:f>
        <x:v>0</x:v>
      </x:c>
    </x:row>
    <x:row r="122">
      <x:c r="A122" t="str">
        <x:v>UTAH_STATE</x:v>
      </x:c>
      <x:c r="B122" t="str">
        <x:v>Utah State University</x:v>
      </x:c>
      <x:c r="C122" t="str">
        <x:v>FBS</x:v>
      </x:c>
      <x:c r="D122" t="str">
        <x:v>Pac-12</x:v>
      </x:c>
      <x:c r="E122" t="str">
        <x:v>National Pacific</x:v>
      </x:c>
      <x:c r="F122" t="n">
        <x:v>7</x:v>
      </x:c>
      <x:c r="G122" t="n">
        <x:v>0.4196</x:v>
      </x:c>
      <x:c r="H122" t="n">
        <x:v>0.5132</x:v>
      </x:c>
      <x:c r="I122" t="n">
        <x:v>48.7757</x:v>
      </x:c>
      <x:c r="J122" t="n">
        <x:f>IF(ISNUMBER(I122),MAX(1,I122),1)</x:f>
        <x:v>48.7757</x:v>
      </x:c>
      <x:c r="K122"/>
      <x:c r="L122" t="str">
        <x:v>NOT VERIFIED</x:v>
      </x:c>
      <x:c r="M122" t="n">
        <x:f>IF(COUNTIFS('Conference pools'!$A$2:$A$25,D122,'Conference pools'!$D$2:$D$25,"&gt;=0")=0,"",SUMIF('Conference pools'!$A$2:$A$25,D122,'Conference pools'!$D$2:$D$25))</x:f>
        <x:v>0</x:v>
      </x:c>
      <x:c r="N122" t="n">
        <x:f>COUNTIF($D$2:$D$267,D122)</x:f>
        <x:v>8</x:v>
      </x:c>
      <x:c r="O122" t="n">
        <x:f>SUMIF($D$2:$D$267,D122,$J$2:$J$267)</x:f>
        <x:v>423.8017</x:v>
      </x:c>
      <x:c r="P122" t="n">
        <x:f>IF(OR(NOT(ISNUMBER(M122)),O122=0),"",M122*('Conference pools'!$H$2/N122+'Conference pools'!$H$3*J122/O122))</x:f>
        <x:v>0</x:v>
      </x:c>
      <x:c r="Q122" t="n">
        <x:f>IF(COUNTIFS($E$2:$E$267,E122,$X$2:$X$267,"&lt;&gt;")&lt;&gt;COUNTIF($E$2:$E$267,E122),"",SUMIF($E$2:$E$267,E122,$X$2:$X$267))</x:f>
        <x:v>0</x:v>
      </x:c>
      <x:c r="R122" t="n">
        <x:f>COUNTIF($E$2:$E$267,E122)</x:f>
        <x:v>11</x:v>
      </x:c>
      <x:c r="S122" t="n">
        <x:f>SUMIF($E$2:$E$267,E122,$J$2:$J$267)</x:f>
        <x:v>512.6662000000001</x:v>
      </x:c>
      <x:c r="T122" t="n">
        <x:f>IF(OR(NOT(ISNUMBER(Q122)),S122=0),"",Q122*('Conference pools'!$H$2/R122+'Conference pools'!$H$3*J122/S122))</x:f>
        <x:v>0</x:v>
      </x:c>
      <x:c r="U122" t="n">
        <x:f>IF(OR(NOT(ISNUMBER(P122)),NOT(ISNUMBER(T122))),"",T122-P122)</x:f>
        <x:v>0</x:v>
      </x:c>
      <x:c r="V122" s="8" t="str">
        <x:f>IF(OR(NOT(ISNUMBER(U122)),P122=0),"",U122/P122)</x:f>
      </x:c>
      <x:c r="W122" t="str">
        <x:f>IF(OR(NOT(ISNUMBER(T122)),NOT(ISNUMBER(K122))),"",T122-K122)</x:f>
      </x:c>
      <x:c r="X122" t="n">
        <x:f>IF(NOT(ISNUMBER(M122)),"",M122/N122)</x:f>
        <x:v>0</x:v>
      </x:c>
    </x:row>
    <x:row r="123">
      <x:c r="A123" t="str">
        <x:v>OREGON_STATE</x:v>
      </x:c>
      <x:c r="B123" t="str">
        <x:v>Oregon State University</x:v>
      </x:c>
      <x:c r="C123" t="str">
        <x:v>FBS</x:v>
      </x:c>
      <x:c r="D123" t="str">
        <x:v>Pac-12</x:v>
      </x:c>
      <x:c r="E123" t="str">
        <x:v>National Pacific</x:v>
      </x:c>
      <x:c r="F123" t="n">
        <x:v>7</x:v>
      </x:c>
      <x:c r="G123" t="n">
        <x:v>0.3715</x:v>
      </x:c>
      <x:c r="H123" t="n">
        <x:v>0.5612</x:v>
      </x:c>
      <x:c r="I123" t="n">
        <x:v>48.3324</x:v>
      </x:c>
      <x:c r="J123" t="n">
        <x:f>IF(ISNUMBER(I123),MAX(1,I123),1)</x:f>
        <x:v>48.3324</x:v>
      </x:c>
      <x:c r="K123"/>
      <x:c r="L123" t="str">
        <x:v>NOT VERIFIED</x:v>
      </x:c>
      <x:c r="M123" t="n">
        <x:f>IF(COUNTIFS('Conference pools'!$A$2:$A$25,D123,'Conference pools'!$D$2:$D$25,"&gt;=0")=0,"",SUMIF('Conference pools'!$A$2:$A$25,D123,'Conference pools'!$D$2:$D$25))</x:f>
        <x:v>0</x:v>
      </x:c>
      <x:c r="N123" t="n">
        <x:f>COUNTIF($D$2:$D$267,D123)</x:f>
        <x:v>8</x:v>
      </x:c>
      <x:c r="O123" t="n">
        <x:f>SUMIF($D$2:$D$267,D123,$J$2:$J$267)</x:f>
        <x:v>423.8017</x:v>
      </x:c>
      <x:c r="P123" t="n">
        <x:f>IF(OR(NOT(ISNUMBER(M123)),O123=0),"",M123*('Conference pools'!$H$2/N123+'Conference pools'!$H$3*J123/O123))</x:f>
        <x:v>0</x:v>
      </x:c>
      <x:c r="Q123" t="n">
        <x:f>IF(COUNTIFS($E$2:$E$267,E123,$X$2:$X$267,"&lt;&gt;")&lt;&gt;COUNTIF($E$2:$E$267,E123),"",SUMIF($E$2:$E$267,E123,$X$2:$X$267))</x:f>
        <x:v>0</x:v>
      </x:c>
      <x:c r="R123" t="n">
        <x:f>COUNTIF($E$2:$E$267,E123)</x:f>
        <x:v>11</x:v>
      </x:c>
      <x:c r="S123" t="n">
        <x:f>SUMIF($E$2:$E$267,E123,$J$2:$J$267)</x:f>
        <x:v>512.6662000000001</x:v>
      </x:c>
      <x:c r="T123" t="n">
        <x:f>IF(OR(NOT(ISNUMBER(Q123)),S123=0),"",Q123*('Conference pools'!$H$2/R123+'Conference pools'!$H$3*J123/S123))</x:f>
        <x:v>0</x:v>
      </x:c>
      <x:c r="U123" t="n">
        <x:f>IF(OR(NOT(ISNUMBER(P123)),NOT(ISNUMBER(T123))),"",T123-P123)</x:f>
        <x:v>0</x:v>
      </x:c>
      <x:c r="V123" s="8" t="str">
        <x:f>IF(OR(NOT(ISNUMBER(U123)),P123=0),"",U123/P123)</x:f>
      </x:c>
      <x:c r="W123" t="str">
        <x:f>IF(OR(NOT(ISNUMBER(T123)),NOT(ISNUMBER(K123))),"",T123-K123)</x:f>
      </x:c>
      <x:c r="X123" t="n">
        <x:f>IF(NOT(ISNUMBER(M123)),"",M123/N123)</x:f>
        <x:v>0</x:v>
      </x:c>
    </x:row>
    <x:row r="124">
      <x:c r="A124" t="str">
        <x:v>NEW_MEXICO_STATE</x:v>
      </x:c>
      <x:c r="B124" t="str">
        <x:v>New Mexico State University</x:v>
      </x:c>
      <x:c r="C124" t="str">
        <x:v>FBS</x:v>
      </x:c>
      <x:c r="D124" t="str">
        <x:v>Conference USA</x:v>
      </x:c>
      <x:c r="E124" t="str">
        <x:v>National Pacific</x:v>
      </x:c>
      <x:c r="F124" t="n">
        <x:v>12</x:v>
      </x:c>
      <x:c r="G124" t="n">
        <x:v>0.4054</x:v>
      </x:c>
      <x:c r="H124" t="n">
        <x:v>0.4657</x:v>
      </x:c>
      <x:c r="I124" t="n">
        <x:v>43.4945</x:v>
      </x:c>
      <x:c r="J124" t="n">
        <x:f>IF(ISNUMBER(I124),MAX(1,I124),1)</x:f>
        <x:v>43.4945</x:v>
      </x:c>
      <x:c r="K124"/>
      <x:c r="L124" t="str">
        <x:v>NOT VERIFIED</x:v>
      </x:c>
      <x:c r="M124" t="n">
        <x:f>IF(COUNTIFS('Conference pools'!$A$2:$A$25,D124,'Conference pools'!$D$2:$D$25,"&gt;=0")=0,"",SUMIF('Conference pools'!$A$2:$A$25,D124,'Conference pools'!$D$2:$D$25))</x:f>
        <x:v>0</x:v>
      </x:c>
      <x:c r="N124" t="n">
        <x:f>COUNTIF($D$2:$D$267,D124)</x:f>
        <x:v>10</x:v>
      </x:c>
      <x:c r="O124" t="n">
        <x:f>SUMIF($D$2:$D$267,D124,$J$2:$J$267)</x:f>
        <x:v>487.94570000000004</x:v>
      </x:c>
      <x:c r="P124" t="n">
        <x:f>IF(OR(NOT(ISNUMBER(M124)),O124=0),"",M124*('Conference pools'!$H$2/N124+'Conference pools'!$H$3*J124/O124))</x:f>
        <x:v>0</x:v>
      </x:c>
      <x:c r="Q124" t="n">
        <x:f>IF(COUNTIFS($E$2:$E$267,E124,$X$2:$X$267,"&lt;&gt;")&lt;&gt;COUNTIF($E$2:$E$267,E124),"",SUMIF($E$2:$E$267,E124,$X$2:$X$267))</x:f>
        <x:v>0</x:v>
      </x:c>
      <x:c r="R124" t="n">
        <x:f>COUNTIF($E$2:$E$267,E124)</x:f>
        <x:v>11</x:v>
      </x:c>
      <x:c r="S124" t="n">
        <x:f>SUMIF($E$2:$E$267,E124,$J$2:$J$267)</x:f>
        <x:v>512.6662000000001</x:v>
      </x:c>
      <x:c r="T124" t="n">
        <x:f>IF(OR(NOT(ISNUMBER(Q124)),S124=0),"",Q124*('Conference pools'!$H$2/R124+'Conference pools'!$H$3*J124/S124))</x:f>
        <x:v>0</x:v>
      </x:c>
      <x:c r="U124" t="n">
        <x:f>IF(OR(NOT(ISNUMBER(P124)),NOT(ISNUMBER(T124))),"",T124-P124)</x:f>
        <x:v>0</x:v>
      </x:c>
      <x:c r="V124" s="8" t="str">
        <x:f>IF(OR(NOT(ISNUMBER(U124)),P124=0),"",U124/P124)</x:f>
      </x:c>
      <x:c r="W124" t="str">
        <x:f>IF(OR(NOT(ISNUMBER(T124)),NOT(ISNUMBER(K124))),"",T124-K124)</x:f>
      </x:c>
      <x:c r="X124" t="n">
        <x:f>IF(NOT(ISNUMBER(M124)),"",M124/N124)</x:f>
        <x:v>0</x:v>
      </x:c>
    </x:row>
    <x:row r="125">
      <x:c r="A125" t="str">
        <x:v>STANFORD</x:v>
      </x:c>
      <x:c r="B125" t="str">
        <x:v>Stanford University</x:v>
      </x:c>
      <x:c r="C125" t="str">
        <x:v>FBS</x:v>
      </x:c>
      <x:c r="D125" t="str">
        <x:v>Atlantic Coast Conference</x:v>
      </x:c>
      <x:c r="E125" t="str">
        <x:v>National Pacific</x:v>
      </x:c>
      <x:c r="F125" t="n">
        <x:v>12</x:v>
      </x:c>
      <x:c r="G125" t="n">
        <x:v>0.2835</x:v>
      </x:c>
      <x:c r="H125" t="n">
        <x:v>0.5929</x:v>
      </x:c>
      <x:c r="I125" t="n">
        <x:v>43.7112</x:v>
      </x:c>
      <x:c r="J125" t="n">
        <x:f>IF(ISNUMBER(I125),MAX(1,I125),1)</x:f>
        <x:v>43.7112</x:v>
      </x:c>
      <x:c r="K125"/>
      <x:c r="L125" t="str">
        <x:v>NOT VERIFIED</x:v>
      </x:c>
      <x:c r="M125" t="n">
        <x:f>IF(COUNTIFS('Conference pools'!$A$2:$A$25,D125,'Conference pools'!$D$2:$D$25,"&gt;=0")=0,"",SUMIF('Conference pools'!$A$2:$A$25,D125,'Conference pools'!$D$2:$D$25))</x:f>
        <x:v>0</x:v>
      </x:c>
      <x:c r="N125" t="n">
        <x:f>COUNTIF($D$2:$D$267,D125)</x:f>
        <x:v>17</x:v>
      </x:c>
      <x:c r="O125" t="n">
        <x:f>SUMIF($D$2:$D$267,D125,$J$2:$J$267)</x:f>
        <x:v>952.8619000000001</x:v>
      </x:c>
      <x:c r="P125" t="n">
        <x:f>IF(OR(NOT(ISNUMBER(M125)),O125=0),"",M125*('Conference pools'!$H$2/N125+'Conference pools'!$H$3*J125/O125))</x:f>
        <x:v>0</x:v>
      </x:c>
      <x:c r="Q125" t="n">
        <x:f>IF(COUNTIFS($E$2:$E$267,E125,$X$2:$X$267,"&lt;&gt;")&lt;&gt;COUNTIF($E$2:$E$267,E125),"",SUMIF($E$2:$E$267,E125,$X$2:$X$267))</x:f>
        <x:v>0</x:v>
      </x:c>
      <x:c r="R125" t="n">
        <x:f>COUNTIF($E$2:$E$267,E125)</x:f>
        <x:v>11</x:v>
      </x:c>
      <x:c r="S125" t="n">
        <x:f>SUMIF($E$2:$E$267,E125,$J$2:$J$267)</x:f>
        <x:v>512.6662000000001</x:v>
      </x:c>
      <x:c r="T125" t="n">
        <x:f>IF(OR(NOT(ISNUMBER(Q125)),S125=0),"",Q125*('Conference pools'!$H$2/R125+'Conference pools'!$H$3*J125/S125))</x:f>
        <x:v>0</x:v>
      </x:c>
      <x:c r="U125" t="n">
        <x:f>IF(OR(NOT(ISNUMBER(P125)),NOT(ISNUMBER(T125))),"",T125-P125)</x:f>
        <x:v>0</x:v>
      </x:c>
      <x:c r="V125" s="8" t="str">
        <x:f>IF(OR(NOT(ISNUMBER(U125)),P125=0),"",U125/P125)</x:f>
      </x:c>
      <x:c r="W125" t="str">
        <x:f>IF(OR(NOT(ISNUMBER(T125)),NOT(ISNUMBER(K125))),"",T125-K125)</x:f>
      </x:c>
      <x:c r="X125" t="n">
        <x:f>IF(NOT(ISNUMBER(M125)),"",M125/N125)</x:f>
        <x:v>0</x:v>
      </x:c>
    </x:row>
    <x:row r="126">
      <x:c r="A126" t="str">
        <x:v>UTEP</x:v>
      </x:c>
      <x:c r="B126" t="str">
        <x:v>University of Texas at El Paso</x:v>
      </x:c>
      <x:c r="C126" t="str">
        <x:v>FBS</x:v>
      </x:c>
      <x:c r="D126" t="str">
        <x:v>Mountain West</x:v>
      </x:c>
      <x:c r="E126" t="str">
        <x:v>National Pacific</x:v>
      </x:c>
      <x:c r="F126" t="n">
        <x:v>21</x:v>
      </x:c>
      <x:c r="G126" t="n">
        <x:v>0.2165</x:v>
      </x:c>
      <x:c r="H126" t="n">
        <x:v>0.5118</x:v>
      </x:c>
      <x:c r="I126" t="n">
        <x:v>36.9713</x:v>
      </x:c>
      <x:c r="J126" t="n">
        <x:f>IF(ISNUMBER(I126),MAX(1,I126),1)</x:f>
        <x:v>36.9713</x:v>
      </x:c>
      <x:c r="K126"/>
      <x:c r="L126" t="str">
        <x:v>NOT VERIFIED</x:v>
      </x:c>
      <x:c r="M126" t="n">
        <x:f>IF(COUNTIFS('Conference pools'!$A$2:$A$25,D126,'Conference pools'!$D$2:$D$25,"&gt;=0")=0,"",SUMIF('Conference pools'!$A$2:$A$25,D126,'Conference pools'!$D$2:$D$25))</x:f>
        <x:v>0</x:v>
      </x:c>
      <x:c r="N126" t="n">
        <x:f>COUNTIF($D$2:$D$267,D126)</x:f>
        <x:v>10</x:v>
      </x:c>
      <x:c r="O126" t="n">
        <x:f>SUMIF($D$2:$D$267,D126,$J$2:$J$267)</x:f>
        <x:v>494.2351</x:v>
      </x:c>
      <x:c r="P126" t="n">
        <x:f>IF(OR(NOT(ISNUMBER(M126)),O126=0),"",M126*('Conference pools'!$H$2/N126+'Conference pools'!$H$3*J126/O126))</x:f>
        <x:v>0</x:v>
      </x:c>
      <x:c r="Q126" t="n">
        <x:f>IF(COUNTIFS($E$2:$E$267,E126,$X$2:$X$267,"&lt;&gt;")&lt;&gt;COUNTIF($E$2:$E$267,E126),"",SUMIF($E$2:$E$267,E126,$X$2:$X$267))</x:f>
        <x:v>0</x:v>
      </x:c>
      <x:c r="R126" t="n">
        <x:f>COUNTIF($E$2:$E$267,E126)</x:f>
        <x:v>11</x:v>
      </x:c>
      <x:c r="S126" t="n">
        <x:f>SUMIF($E$2:$E$267,E126,$J$2:$J$267)</x:f>
        <x:v>512.6662000000001</x:v>
      </x:c>
      <x:c r="T126" t="n">
        <x:f>IF(OR(NOT(ISNUMBER(Q126)),S126=0),"",Q126*('Conference pools'!$H$2/R126+'Conference pools'!$H$3*J126/S126))</x:f>
        <x:v>0</x:v>
      </x:c>
      <x:c r="U126" t="n">
        <x:f>IF(OR(NOT(ISNUMBER(P126)),NOT(ISNUMBER(T126))),"",T126-P126)</x:f>
        <x:v>0</x:v>
      </x:c>
      <x:c r="V126" s="8" t="str">
        <x:f>IF(OR(NOT(ISNUMBER(U126)),P126=0),"",U126/P126)</x:f>
      </x:c>
      <x:c r="W126" t="str">
        <x:f>IF(OR(NOT(ISNUMBER(T126)),NOT(ISNUMBER(K126))),"",T126-K126)</x:f>
      </x:c>
      <x:c r="X126" t="n">
        <x:f>IF(NOT(ISNUMBER(M126)),"",M126/N126)</x:f>
        <x:v>0</x:v>
      </x:c>
    </x:row>
    <x:row r="127">
      <x:c r="A127" t="str">
        <x:v>NEVADA</x:v>
      </x:c>
      <x:c r="B127" t="str">
        <x:v>University of Nevada Reno</x:v>
      </x:c>
      <x:c r="C127" t="str">
        <x:v>FBS</x:v>
      </x:c>
      <x:c r="D127" t="str">
        <x:v>Mountain West</x:v>
      </x:c>
      <x:c r="E127" t="str">
        <x:v>National Pacific</x:v>
      </x:c>
      <x:c r="F127" t="n">
        <x:v>17</x:v>
      </x:c>
      <x:c r="G127" t="n">
        <x:v>0.2225</x:v>
      </x:c>
      <x:c r="H127" t="n">
        <x:v>0.5487</x:v>
      </x:c>
      <x:c r="I127" t="n">
        <x:v>39.6597</x:v>
      </x:c>
      <x:c r="J127" t="n">
        <x:f>IF(ISNUMBER(I127),MAX(1,I127),1)</x:f>
        <x:v>39.6597</x:v>
      </x:c>
      <x:c r="K127"/>
      <x:c r="L127" t="str">
        <x:v>NOT VERIFIED</x:v>
      </x:c>
      <x:c r="M127" t="n">
        <x:f>IF(COUNTIFS('Conference pools'!$A$2:$A$25,D127,'Conference pools'!$D$2:$D$25,"&gt;=0")=0,"",SUMIF('Conference pools'!$A$2:$A$25,D127,'Conference pools'!$D$2:$D$25))</x:f>
        <x:v>0</x:v>
      </x:c>
      <x:c r="N127" t="n">
        <x:f>COUNTIF($D$2:$D$267,D127)</x:f>
        <x:v>10</x:v>
      </x:c>
      <x:c r="O127" t="n">
        <x:f>SUMIF($D$2:$D$267,D127,$J$2:$J$267)</x:f>
        <x:v>494.2351</x:v>
      </x:c>
      <x:c r="P127" t="n">
        <x:f>IF(OR(NOT(ISNUMBER(M127)),O127=0),"",M127*('Conference pools'!$H$2/N127+'Conference pools'!$H$3*J127/O127))</x:f>
        <x:v>0</x:v>
      </x:c>
      <x:c r="Q127" t="n">
        <x:f>IF(COUNTIFS($E$2:$E$267,E127,$X$2:$X$267,"&lt;&gt;")&lt;&gt;COUNTIF($E$2:$E$267,E127),"",SUMIF($E$2:$E$267,E127,$X$2:$X$267))</x:f>
        <x:v>0</x:v>
      </x:c>
      <x:c r="R127" t="n">
        <x:f>COUNTIF($E$2:$E$267,E127)</x:f>
        <x:v>11</x:v>
      </x:c>
      <x:c r="S127" t="n">
        <x:f>SUMIF($E$2:$E$267,E127,$J$2:$J$267)</x:f>
        <x:v>512.6662000000001</x:v>
      </x:c>
      <x:c r="T127" t="n">
        <x:f>IF(OR(NOT(ISNUMBER(Q127)),S127=0),"",Q127*('Conference pools'!$H$2/R127+'Conference pools'!$H$3*J127/S127))</x:f>
        <x:v>0</x:v>
      </x:c>
      <x:c r="U127" t="n">
        <x:f>IF(OR(NOT(ISNUMBER(P127)),NOT(ISNUMBER(T127))),"",T127-P127)</x:f>
        <x:v>0</x:v>
      </x:c>
      <x:c r="V127" s="8" t="str">
        <x:f>IF(OR(NOT(ISNUMBER(U127)),P127=0),"",U127/P127)</x:f>
      </x:c>
      <x:c r="W127" t="str">
        <x:f>IF(OR(NOT(ISNUMBER(T127)),NOT(ISNUMBER(K127))),"",T127-K127)</x:f>
      </x:c>
      <x:c r="X127" t="n">
        <x:f>IF(NOT(ISNUMBER(M127)),"",M127/N127)</x:f>
        <x:v>0</x:v>
      </x:c>
    </x:row>
    <x:row r="128">
      <x:c r="A128" t="str">
        <x:v>SOUTH_CAROLINA</x:v>
      </x:c>
      <x:c r="B128" t="str">
        <x:v>University of South Carolina</x:v>
      </x:c>
      <x:c r="C128" t="str">
        <x:v>FBS</x:v>
      </x:c>
      <x:c r="D128" t="str">
        <x:v>Southeastern Conference</x:v>
      </x:c>
      <x:c r="E128" t="str">
        <x:v>National Southeast</x:v>
      </x:c>
      <x:c r="F128" t="n">
        <x:v>3</x:v>
      </x:c>
      <x:c r="G128" t="n">
        <x:v>0.4842</x:v>
      </x:c>
      <x:c r="H128" t="n">
        <x:v>0.6068</x:v>
      </x:c>
      <x:c r="I128" t="n">
        <x:v>55.5219</x:v>
      </x:c>
      <x:c r="J128" t="n">
        <x:f>IF(ISNUMBER(I128),MAX(1,I128),1)</x:f>
        <x:v>55.5219</x:v>
      </x:c>
      <x:c r="K128"/>
      <x:c r="L128" t="str">
        <x:v>NOT VERIFIED</x:v>
      </x:c>
      <x:c r="M128" t="n">
        <x:f>IF(COUNTIFS('Conference pools'!$A$2:$A$25,D128,'Conference pools'!$D$2:$D$25,"&gt;=0")=0,"",SUMIF('Conference pools'!$A$2:$A$25,D128,'Conference pools'!$D$2:$D$25))</x:f>
        <x:v>0</x:v>
      </x:c>
      <x:c r="N128" t="n">
        <x:f>COUNTIF($D$2:$D$267,D128)</x:f>
        <x:v>16</x:v>
      </x:c>
      <x:c r="O128" t="n">
        <x:f>SUMIF($D$2:$D$267,D128,$J$2:$J$267)</x:f>
        <x:v>979.9415</x:v>
      </x:c>
      <x:c r="P128" t="n">
        <x:f>IF(OR(NOT(ISNUMBER(M128)),O128=0),"",M128*('Conference pools'!$H$2/N128+'Conference pools'!$H$3*J128/O128))</x:f>
        <x:v>0</x:v>
      </x:c>
      <x:c r="Q128" t="n">
        <x:f>IF(COUNTIFS($E$2:$E$267,E128,$X$2:$X$267,"&lt;&gt;")&lt;&gt;COUNTIF($E$2:$E$267,E128),"",SUMIF($E$2:$E$267,E128,$X$2:$X$267))</x:f>
        <x:v>0</x:v>
      </x:c>
      <x:c r="R128" t="n">
        <x:f>COUNTIF($E$2:$E$267,E128)</x:f>
        <x:v>11</x:v>
      </x:c>
      <x:c r="S128" t="n">
        <x:f>SUMIF($E$2:$E$267,E128,$J$2:$J$267)</x:f>
        <x:v>539.8725</x:v>
      </x:c>
      <x:c r="T128" t="n">
        <x:f>IF(OR(NOT(ISNUMBER(Q128)),S128=0),"",Q128*('Conference pools'!$H$2/R128+'Conference pools'!$H$3*J128/S128))</x:f>
        <x:v>0</x:v>
      </x:c>
      <x:c r="U128" t="n">
        <x:f>IF(OR(NOT(ISNUMBER(P128)),NOT(ISNUMBER(T128))),"",T128-P128)</x:f>
        <x:v>0</x:v>
      </x:c>
      <x:c r="V128" s="8" t="str">
        <x:f>IF(OR(NOT(ISNUMBER(U128)),P128=0),"",U128/P128)</x:f>
      </x:c>
      <x:c r="W128" t="str">
        <x:f>IF(OR(NOT(ISNUMBER(T128)),NOT(ISNUMBER(K128))),"",T128-K128)</x:f>
      </x:c>
      <x:c r="X128" t="n">
        <x:f>IF(NOT(ISNUMBER(M128)),"",M128/N128)</x:f>
        <x:v>0</x:v>
      </x:c>
    </x:row>
    <x:row r="129">
      <x:c r="A129" t="str">
        <x:v>WAKE_FOREST</x:v>
      </x:c>
      <x:c r="B129" t="str">
        <x:v>Wake Forest University</x:v>
      </x:c>
      <x:c r="C129" t="str">
        <x:v>FBS</x:v>
      </x:c>
      <x:c r="D129" t="str">
        <x:v>Atlantic Coast Conference</x:v>
      </x:c>
      <x:c r="E129" t="str">
        <x:v>National Southeast</x:v>
      </x:c>
      <x:c r="F129" t="n">
        <x:v>4</x:v>
      </x:c>
      <x:c r="G129" t="n">
        <x:v>0.4847</x:v>
      </x:c>
      <x:c r="H129" t="n">
        <x:v>0.5372</x:v>
      </x:c>
      <x:c r="I129" t="n">
        <x:v>52.4873</x:v>
      </x:c>
      <x:c r="J129" t="n">
        <x:f>IF(ISNUMBER(I129),MAX(1,I129),1)</x:f>
        <x:v>52.4873</x:v>
      </x:c>
      <x:c r="K129"/>
      <x:c r="L129" t="str">
        <x:v>NOT VERIFIED</x:v>
      </x:c>
      <x:c r="M129" t="n">
        <x:f>IF(COUNTIFS('Conference pools'!$A$2:$A$25,D129,'Conference pools'!$D$2:$D$25,"&gt;=0")=0,"",SUMIF('Conference pools'!$A$2:$A$25,D129,'Conference pools'!$D$2:$D$25))</x:f>
        <x:v>0</x:v>
      </x:c>
      <x:c r="N129" t="n">
        <x:f>COUNTIF($D$2:$D$267,D129)</x:f>
        <x:v>17</x:v>
      </x:c>
      <x:c r="O129" t="n">
        <x:f>SUMIF($D$2:$D$267,D129,$J$2:$J$267)</x:f>
        <x:v>952.8619000000001</x:v>
      </x:c>
      <x:c r="P129" t="n">
        <x:f>IF(OR(NOT(ISNUMBER(M129)),O129=0),"",M129*('Conference pools'!$H$2/N129+'Conference pools'!$H$3*J129/O129))</x:f>
        <x:v>0</x:v>
      </x:c>
      <x:c r="Q129" t="n">
        <x:f>IF(COUNTIFS($E$2:$E$267,E129,$X$2:$X$267,"&lt;&gt;")&lt;&gt;COUNTIF($E$2:$E$267,E129),"",SUMIF($E$2:$E$267,E129,$X$2:$X$267))</x:f>
        <x:v>0</x:v>
      </x:c>
      <x:c r="R129" t="n">
        <x:f>COUNTIF($E$2:$E$267,E129)</x:f>
        <x:v>11</x:v>
      </x:c>
      <x:c r="S129" t="n">
        <x:f>SUMIF($E$2:$E$267,E129,$J$2:$J$267)</x:f>
        <x:v>539.8725</x:v>
      </x:c>
      <x:c r="T129" t="n">
        <x:f>IF(OR(NOT(ISNUMBER(Q129)),S129=0),"",Q129*('Conference pools'!$H$2/R129+'Conference pools'!$H$3*J129/S129))</x:f>
        <x:v>0</x:v>
      </x:c>
      <x:c r="U129" t="n">
        <x:f>IF(OR(NOT(ISNUMBER(P129)),NOT(ISNUMBER(T129))),"",T129-P129)</x:f>
        <x:v>0</x:v>
      </x:c>
      <x:c r="V129" s="8" t="str">
        <x:f>IF(OR(NOT(ISNUMBER(U129)),P129=0),"",U129/P129)</x:f>
      </x:c>
      <x:c r="W129" t="str">
        <x:f>IF(OR(NOT(ISNUMBER(T129)),NOT(ISNUMBER(K129))),"",T129-K129)</x:f>
      </x:c>
      <x:c r="X129" t="n">
        <x:f>IF(NOT(ISNUMBER(M129)),"",M129/N129)</x:f>
        <x:v>0</x:v>
      </x:c>
    </x:row>
    <x:row r="130">
      <x:c r="A130" t="str">
        <x:v>APP_STATE</x:v>
      </x:c>
      <x:c r="B130" t="str">
        <x:v>Appalachian State University</x:v>
      </x:c>
      <x:c r="C130" t="str">
        <x:v>FBS</x:v>
      </x:c>
      <x:c r="D130" t="str">
        <x:v>Sun Belt</x:v>
      </x:c>
      <x:c r="E130" t="str">
        <x:v>National Southeast</x:v>
      </x:c>
      <x:c r="F130" t="n">
        <x:v>4</x:v>
      </x:c>
      <x:c r="G130" t="n">
        <x:v>0.4785</x:v>
      </x:c>
      <x:c r="H130" t="n">
        <x:v>0.5209</x:v>
      </x:c>
      <x:c r="I130" t="n">
        <x:v>53.5914</x:v>
      </x:c>
      <x:c r="J130" t="n">
        <x:f>IF(ISNUMBER(I130),MAX(1,I130),1)</x:f>
        <x:v>53.5914</x:v>
      </x:c>
      <x:c r="K130"/>
      <x:c r="L130" t="str">
        <x:v>NOT VERIFIED</x:v>
      </x:c>
      <x:c r="M130" t="n">
        <x:f>IF(COUNTIFS('Conference pools'!$A$2:$A$25,D130,'Conference pools'!$D$2:$D$25,"&gt;=0")=0,"",SUMIF('Conference pools'!$A$2:$A$25,D130,'Conference pools'!$D$2:$D$25))</x:f>
        <x:v>0</x:v>
      </x:c>
      <x:c r="N130" t="n">
        <x:f>COUNTIF($D$2:$D$267,D130)</x:f>
        <x:v>13</x:v>
      </x:c>
      <x:c r="O130" t="n">
        <x:f>SUMIF($D$2:$D$267,D130,$J$2:$J$267)</x:f>
        <x:v>670.3176</x:v>
      </x:c>
      <x:c r="P130" t="n">
        <x:f>IF(OR(NOT(ISNUMBER(M130)),O130=0),"",M130*('Conference pools'!$H$2/N130+'Conference pools'!$H$3*J130/O130))</x:f>
        <x:v>0</x:v>
      </x:c>
      <x:c r="Q130" t="n">
        <x:f>IF(COUNTIFS($E$2:$E$267,E130,$X$2:$X$267,"&lt;&gt;")&lt;&gt;COUNTIF($E$2:$E$267,E130),"",SUMIF($E$2:$E$267,E130,$X$2:$X$267))</x:f>
        <x:v>0</x:v>
      </x:c>
      <x:c r="R130" t="n">
        <x:f>COUNTIF($E$2:$E$267,E130)</x:f>
        <x:v>11</x:v>
      </x:c>
      <x:c r="S130" t="n">
        <x:f>SUMIF($E$2:$E$267,E130,$J$2:$J$267)</x:f>
        <x:v>539.8725</x:v>
      </x:c>
      <x:c r="T130" t="n">
        <x:f>IF(OR(NOT(ISNUMBER(Q130)),S130=0),"",Q130*('Conference pools'!$H$2/R130+'Conference pools'!$H$3*J130/S130))</x:f>
        <x:v>0</x:v>
      </x:c>
      <x:c r="U130" t="n">
        <x:f>IF(OR(NOT(ISNUMBER(P130)),NOT(ISNUMBER(T130))),"",T130-P130)</x:f>
        <x:v>0</x:v>
      </x:c>
      <x:c r="V130" s="8" t="str">
        <x:f>IF(OR(NOT(ISNUMBER(U130)),P130=0),"",U130/P130)</x:f>
      </x:c>
      <x:c r="W130" t="str">
        <x:f>IF(OR(NOT(ISNUMBER(T130)),NOT(ISNUMBER(K130))),"",T130-K130)</x:f>
      </x:c>
      <x:c r="X130" t="n">
        <x:f>IF(NOT(ISNUMBER(M130)),"",M130/N130)</x:f>
        <x:v>0</x:v>
      </x:c>
    </x:row>
    <x:row r="131">
      <x:c r="A131" t="str">
        <x:v>NORTH_CAROLINA</x:v>
      </x:c>
      <x:c r="B131" t="str">
        <x:v>University of North Carolina at Chapel Hill</x:v>
      </x:c>
      <x:c r="C131" t="str">
        <x:v>FBS</x:v>
      </x:c>
      <x:c r="D131" t="str">
        <x:v>Atlantic Coast Conference</x:v>
      </x:c>
      <x:c r="E131" t="str">
        <x:v>National Southeast</x:v>
      </x:c>
      <x:c r="F131" t="n">
        <x:v>5</x:v>
      </x:c>
      <x:c r="G131" t="n">
        <x:v>0.4526</x:v>
      </x:c>
      <x:c r="H131" t="n">
        <x:v>0.5187</x:v>
      </x:c>
      <x:c r="I131" t="n">
        <x:v>52.1698</x:v>
      </x:c>
      <x:c r="J131" t="n">
        <x:f>IF(ISNUMBER(I131),MAX(1,I131),1)</x:f>
        <x:v>52.1698</x:v>
      </x:c>
      <x:c r="K131"/>
      <x:c r="L131" t="str">
        <x:v>NOT VERIFIED</x:v>
      </x:c>
      <x:c r="M131" t="n">
        <x:f>IF(COUNTIFS('Conference pools'!$A$2:$A$25,D131,'Conference pools'!$D$2:$D$25,"&gt;=0")=0,"",SUMIF('Conference pools'!$A$2:$A$25,D131,'Conference pools'!$D$2:$D$25))</x:f>
        <x:v>0</x:v>
      </x:c>
      <x:c r="N131" t="n">
        <x:f>COUNTIF($D$2:$D$267,D131)</x:f>
        <x:v>17</x:v>
      </x:c>
      <x:c r="O131" t="n">
        <x:f>SUMIF($D$2:$D$267,D131,$J$2:$J$267)</x:f>
        <x:v>952.8619000000001</x:v>
      </x:c>
      <x:c r="P131" t="n">
        <x:f>IF(OR(NOT(ISNUMBER(M131)),O131=0),"",M131*('Conference pools'!$H$2/N131+'Conference pools'!$H$3*J131/O131))</x:f>
        <x:v>0</x:v>
      </x:c>
      <x:c r="Q131" t="n">
        <x:f>IF(COUNTIFS($E$2:$E$267,E131,$X$2:$X$267,"&lt;&gt;")&lt;&gt;COUNTIF($E$2:$E$267,E131),"",SUMIF($E$2:$E$267,E131,$X$2:$X$267))</x:f>
        <x:v>0</x:v>
      </x:c>
      <x:c r="R131" t="n">
        <x:f>COUNTIF($E$2:$E$267,E131)</x:f>
        <x:v>11</x:v>
      </x:c>
      <x:c r="S131" t="n">
        <x:f>SUMIF($E$2:$E$267,E131,$J$2:$J$267)</x:f>
        <x:v>539.8725</x:v>
      </x:c>
      <x:c r="T131" t="n">
        <x:f>IF(OR(NOT(ISNUMBER(Q131)),S131=0),"",Q131*('Conference pools'!$H$2/R131+'Conference pools'!$H$3*J131/S131))</x:f>
        <x:v>0</x:v>
      </x:c>
      <x:c r="U131" t="n">
        <x:f>IF(OR(NOT(ISNUMBER(P131)),NOT(ISNUMBER(T131))),"",T131-P131)</x:f>
        <x:v>0</x:v>
      </x:c>
      <x:c r="V131" s="8" t="str">
        <x:f>IF(OR(NOT(ISNUMBER(U131)),P131=0),"",U131/P131)</x:f>
      </x:c>
      <x:c r="W131" t="str">
        <x:f>IF(OR(NOT(ISNUMBER(T131)),NOT(ISNUMBER(K131))),"",T131-K131)</x:f>
      </x:c>
      <x:c r="X131" t="n">
        <x:f>IF(NOT(ISNUMBER(M131)),"",M131/N131)</x:f>
        <x:v>0</x:v>
      </x:c>
    </x:row>
    <x:row r="132">
      <x:c r="A132" t="str">
        <x:v>FLORIDA</x:v>
      </x:c>
      <x:c r="B132" t="str">
        <x:v>University of Florida</x:v>
      </x:c>
      <x:c r="C132" t="str">
        <x:v>FBS</x:v>
      </x:c>
      <x:c r="D132" t="str">
        <x:v>Southeastern Conference</x:v>
      </x:c>
      <x:c r="E132" t="str">
        <x:v>National Southeast</x:v>
      </x:c>
      <x:c r="F132" t="n">
        <x:v>3</x:v>
      </x:c>
      <x:c r="G132" t="n">
        <x:v>0.4562</x:v>
      </x:c>
      <x:c r="H132" t="n">
        <x:v>0.5878</x:v>
      </x:c>
      <x:c r="I132" t="n">
        <x:v>55.2014</x:v>
      </x:c>
      <x:c r="J132" t="n">
        <x:f>IF(ISNUMBER(I132),MAX(1,I132),1)</x:f>
        <x:v>55.2014</x:v>
      </x:c>
      <x:c r="K132"/>
      <x:c r="L132" t="str">
        <x:v>NOT VERIFIED</x:v>
      </x:c>
      <x:c r="M132" t="n">
        <x:f>IF(COUNTIFS('Conference pools'!$A$2:$A$25,D132,'Conference pools'!$D$2:$D$25,"&gt;=0")=0,"",SUMIF('Conference pools'!$A$2:$A$25,D132,'Conference pools'!$D$2:$D$25))</x:f>
        <x:v>0</x:v>
      </x:c>
      <x:c r="N132" t="n">
        <x:f>COUNTIF($D$2:$D$267,D132)</x:f>
        <x:v>16</x:v>
      </x:c>
      <x:c r="O132" t="n">
        <x:f>SUMIF($D$2:$D$267,D132,$J$2:$J$267)</x:f>
        <x:v>979.9415</x:v>
      </x:c>
      <x:c r="P132" t="n">
        <x:f>IF(OR(NOT(ISNUMBER(M132)),O132=0),"",M132*('Conference pools'!$H$2/N132+'Conference pools'!$H$3*J132/O132))</x:f>
        <x:v>0</x:v>
      </x:c>
      <x:c r="Q132" t="n">
        <x:f>IF(COUNTIFS($E$2:$E$267,E132,$X$2:$X$267,"&lt;&gt;")&lt;&gt;COUNTIF($E$2:$E$267,E132),"",SUMIF($E$2:$E$267,E132,$X$2:$X$267))</x:f>
        <x:v>0</x:v>
      </x:c>
      <x:c r="R132" t="n">
        <x:f>COUNTIF($E$2:$E$267,E132)</x:f>
        <x:v>11</x:v>
      </x:c>
      <x:c r="S132" t="n">
        <x:f>SUMIF($E$2:$E$267,E132,$J$2:$J$267)</x:f>
        <x:v>539.8725</x:v>
      </x:c>
      <x:c r="T132" t="n">
        <x:f>IF(OR(NOT(ISNUMBER(Q132)),S132=0),"",Q132*('Conference pools'!$H$2/R132+'Conference pools'!$H$3*J132/S132))</x:f>
        <x:v>0</x:v>
      </x:c>
      <x:c r="U132" t="n">
        <x:f>IF(OR(NOT(ISNUMBER(P132)),NOT(ISNUMBER(T132))),"",T132-P132)</x:f>
        <x:v>0</x:v>
      </x:c>
      <x:c r="V132" s="8" t="str">
        <x:f>IF(OR(NOT(ISNUMBER(U132)),P132=0),"",U132/P132)</x:f>
      </x:c>
      <x:c r="W132" t="str">
        <x:f>IF(OR(NOT(ISNUMBER(T132)),NOT(ISNUMBER(K132))),"",T132-K132)</x:f>
      </x:c>
      <x:c r="X132" t="n">
        <x:f>IF(NOT(ISNUMBER(M132)),"",M132/N132)</x:f>
        <x:v>0</x:v>
      </x:c>
    </x:row>
    <x:row r="133">
      <x:c r="A133" t="str">
        <x:v>UCF</x:v>
      </x:c>
      <x:c r="B133" t="str">
        <x:v>University of Central Florida</x:v>
      </x:c>
      <x:c r="C133" t="str">
        <x:v>FBS</x:v>
      </x:c>
      <x:c r="D133" t="str">
        <x:v>Big 12</x:v>
      </x:c>
      <x:c r="E133" t="str">
        <x:v>National Southeast</x:v>
      </x:c>
      <x:c r="F133" t="n">
        <x:v>5</x:v>
      </x:c>
      <x:c r="G133" t="n">
        <x:v>0.4006</x:v>
      </x:c>
      <x:c r="H133" t="n">
        <x:v>0.5456</x:v>
      </x:c>
      <x:c r="I133" t="n">
        <x:v>52.0716</x:v>
      </x:c>
      <x:c r="J133" t="n">
        <x:f>IF(ISNUMBER(I133),MAX(1,I133),1)</x:f>
        <x:v>52.0716</x:v>
      </x:c>
      <x:c r="K133"/>
      <x:c r="L133" t="str">
        <x:v>NOT VERIFIED</x:v>
      </x:c>
      <x:c r="M133" t="n">
        <x:f>IF(COUNTIFS('Conference pools'!$A$2:$A$25,D133,'Conference pools'!$D$2:$D$25,"&gt;=0")=0,"",SUMIF('Conference pools'!$A$2:$A$25,D133,'Conference pools'!$D$2:$D$25))</x:f>
        <x:v>0</x:v>
      </x:c>
      <x:c r="N133" t="n">
        <x:f>COUNTIF($D$2:$D$267,D133)</x:f>
        <x:v>16</x:v>
      </x:c>
      <x:c r="O133" t="n">
        <x:f>SUMIF($D$2:$D$267,D133,$J$2:$J$267)</x:f>
        <x:v>905.6582</x:v>
      </x:c>
      <x:c r="P133" t="n">
        <x:f>IF(OR(NOT(ISNUMBER(M133)),O133=0),"",M133*('Conference pools'!$H$2/N133+'Conference pools'!$H$3*J133/O133))</x:f>
        <x:v>0</x:v>
      </x:c>
      <x:c r="Q133" t="n">
        <x:f>IF(COUNTIFS($E$2:$E$267,E133,$X$2:$X$267,"&lt;&gt;")&lt;&gt;COUNTIF($E$2:$E$267,E133),"",SUMIF($E$2:$E$267,E133,$X$2:$X$267))</x:f>
        <x:v>0</x:v>
      </x:c>
      <x:c r="R133" t="n">
        <x:f>COUNTIF($E$2:$E$267,E133)</x:f>
        <x:v>11</x:v>
      </x:c>
      <x:c r="S133" t="n">
        <x:f>SUMIF($E$2:$E$267,E133,$J$2:$J$267)</x:f>
        <x:v>539.8725</x:v>
      </x:c>
      <x:c r="T133" t="n">
        <x:f>IF(OR(NOT(ISNUMBER(Q133)),S133=0),"",Q133*('Conference pools'!$H$2/R133+'Conference pools'!$H$3*J133/S133))</x:f>
        <x:v>0</x:v>
      </x:c>
      <x:c r="U133" t="n">
        <x:f>IF(OR(NOT(ISNUMBER(P133)),NOT(ISNUMBER(T133))),"",T133-P133)</x:f>
        <x:v>0</x:v>
      </x:c>
      <x:c r="V133" s="8" t="str">
        <x:f>IF(OR(NOT(ISNUMBER(U133)),P133=0),"",U133/P133)</x:f>
      </x:c>
      <x:c r="W133" t="str">
        <x:f>IF(OR(NOT(ISNUMBER(T133)),NOT(ISNUMBER(K133))),"",T133-K133)</x:f>
      </x:c>
      <x:c r="X133" t="n">
        <x:f>IF(NOT(ISNUMBER(M133)),"",M133/N133)</x:f>
        <x:v>0</x:v>
      </x:c>
    </x:row>
    <x:row r="134">
      <x:c r="A134" t="str">
        <x:v>FIU</x:v>
      </x:c>
      <x:c r="B134" t="str">
        <x:v>Florida International University</x:v>
      </x:c>
      <x:c r="C134" t="str">
        <x:v>FBS</x:v>
      </x:c>
      <x:c r="D134" t="str">
        <x:v>Conference USA</x:v>
      </x:c>
      <x:c r="E134" t="str">
        <x:v>National Southeast</x:v>
      </x:c>
      <x:c r="F134" t="n">
        <x:v>11</x:v>
      </x:c>
      <x:c r="G134" t="n">
        <x:v>0.4198</x:v>
      </x:c>
      <x:c r="H134" t="n">
        <x:v>0.4632</x:v>
      </x:c>
      <x:c r="I134" t="n">
        <x:v>44.2957</x:v>
      </x:c>
      <x:c r="J134" t="n">
        <x:f>IF(ISNUMBER(I134),MAX(1,I134),1)</x:f>
        <x:v>44.2957</x:v>
      </x:c>
      <x:c r="K134"/>
      <x:c r="L134" t="str">
        <x:v>NOT VERIFIED</x:v>
      </x:c>
      <x:c r="M134" t="n">
        <x:f>IF(COUNTIFS('Conference pools'!$A$2:$A$25,D134,'Conference pools'!$D$2:$D$25,"&gt;=0")=0,"",SUMIF('Conference pools'!$A$2:$A$25,D134,'Conference pools'!$D$2:$D$25))</x:f>
        <x:v>0</x:v>
      </x:c>
      <x:c r="N134" t="n">
        <x:f>COUNTIF($D$2:$D$267,D134)</x:f>
        <x:v>10</x:v>
      </x:c>
      <x:c r="O134" t="n">
        <x:f>SUMIF($D$2:$D$267,D134,$J$2:$J$267)</x:f>
        <x:v>487.94570000000004</x:v>
      </x:c>
      <x:c r="P134" t="n">
        <x:f>IF(OR(NOT(ISNUMBER(M134)),O134=0),"",M134*('Conference pools'!$H$2/N134+'Conference pools'!$H$3*J134/O134))</x:f>
        <x:v>0</x:v>
      </x:c>
      <x:c r="Q134" t="n">
        <x:f>IF(COUNTIFS($E$2:$E$267,E134,$X$2:$X$267,"&lt;&gt;")&lt;&gt;COUNTIF($E$2:$E$267,E134),"",SUMIF($E$2:$E$267,E134,$X$2:$X$267))</x:f>
        <x:v>0</x:v>
      </x:c>
      <x:c r="R134" t="n">
        <x:f>COUNTIF($E$2:$E$267,E134)</x:f>
        <x:v>11</x:v>
      </x:c>
      <x:c r="S134" t="n">
        <x:f>SUMIF($E$2:$E$267,E134,$J$2:$J$267)</x:f>
        <x:v>539.8725</x:v>
      </x:c>
      <x:c r="T134" t="n">
        <x:f>IF(OR(NOT(ISNUMBER(Q134)),S134=0),"",Q134*('Conference pools'!$H$2/R134+'Conference pools'!$H$3*J134/S134))</x:f>
        <x:v>0</x:v>
      </x:c>
      <x:c r="U134" t="n">
        <x:f>IF(OR(NOT(ISNUMBER(P134)),NOT(ISNUMBER(T134))),"",T134-P134)</x:f>
        <x:v>0</x:v>
      </x:c>
      <x:c r="V134" s="8" t="str">
        <x:f>IF(OR(NOT(ISNUMBER(U134)),P134=0),"",U134/P134)</x:f>
      </x:c>
      <x:c r="W134" t="str">
        <x:f>IF(OR(NOT(ISNUMBER(T134)),NOT(ISNUMBER(K134))),"",T134-K134)</x:f>
      </x:c>
      <x:c r="X134" t="n">
        <x:f>IF(NOT(ISNUMBER(M134)),"",M134/N134)</x:f>
        <x:v>0</x:v>
      </x:c>
    </x:row>
    <x:row r="135">
      <x:c r="A135" t="str">
        <x:v>VIRGINIA_TECH</x:v>
      </x:c>
      <x:c r="B135" t="str">
        <x:v>Virginia Polytechnic Institute and State University</x:v>
      </x:c>
      <x:c r="C135" t="str">
        <x:v>FBS</x:v>
      </x:c>
      <x:c r="D135" t="str">
        <x:v>Atlantic Coast Conference</x:v>
      </x:c>
      <x:c r="E135" t="str">
        <x:v>National Southeast</x:v>
      </x:c>
      <x:c r="F135" t="n">
        <x:v>5</x:v>
      </x:c>
      <x:c r="G135" t="n">
        <x:v>0.4005</x:v>
      </x:c>
      <x:c r="H135" t="n">
        <x:v>0.5859</x:v>
      </x:c>
      <x:c r="I135" t="n">
        <x:v>51.7452</x:v>
      </x:c>
      <x:c r="J135" t="n">
        <x:f>IF(ISNUMBER(I135),MAX(1,I135),1)</x:f>
        <x:v>51.7452</x:v>
      </x:c>
      <x:c r="K135"/>
      <x:c r="L135" t="str">
        <x:v>NOT VERIFIED</x:v>
      </x:c>
      <x:c r="M135" t="n">
        <x:f>IF(COUNTIFS('Conference pools'!$A$2:$A$25,D135,'Conference pools'!$D$2:$D$25,"&gt;=0")=0,"",SUMIF('Conference pools'!$A$2:$A$25,D135,'Conference pools'!$D$2:$D$25))</x:f>
        <x:v>0</x:v>
      </x:c>
      <x:c r="N135" t="n">
        <x:f>COUNTIF($D$2:$D$267,D135)</x:f>
        <x:v>17</x:v>
      </x:c>
      <x:c r="O135" t="n">
        <x:f>SUMIF($D$2:$D$267,D135,$J$2:$J$267)</x:f>
        <x:v>952.8619000000001</x:v>
      </x:c>
      <x:c r="P135" t="n">
        <x:f>IF(OR(NOT(ISNUMBER(M135)),O135=0),"",M135*('Conference pools'!$H$2/N135+'Conference pools'!$H$3*J135/O135))</x:f>
        <x:v>0</x:v>
      </x:c>
      <x:c r="Q135" t="n">
        <x:f>IF(COUNTIFS($E$2:$E$267,E135,$X$2:$X$267,"&lt;&gt;")&lt;&gt;COUNTIF($E$2:$E$267,E135),"",SUMIF($E$2:$E$267,E135,$X$2:$X$267))</x:f>
        <x:v>0</x:v>
      </x:c>
      <x:c r="R135" t="n">
        <x:f>COUNTIF($E$2:$E$267,E135)</x:f>
        <x:v>11</x:v>
      </x:c>
      <x:c r="S135" t="n">
        <x:f>SUMIF($E$2:$E$267,E135,$J$2:$J$267)</x:f>
        <x:v>539.8725</x:v>
      </x:c>
      <x:c r="T135" t="n">
        <x:f>IF(OR(NOT(ISNUMBER(Q135)),S135=0),"",Q135*('Conference pools'!$H$2/R135+'Conference pools'!$H$3*J135/S135))</x:f>
        <x:v>0</x:v>
      </x:c>
      <x:c r="U135" t="n">
        <x:f>IF(OR(NOT(ISNUMBER(P135)),NOT(ISNUMBER(T135))),"",T135-P135)</x:f>
        <x:v>0</x:v>
      </x:c>
      <x:c r="V135" s="8" t="str">
        <x:f>IF(OR(NOT(ISNUMBER(U135)),P135=0),"",U135/P135)</x:f>
      </x:c>
      <x:c r="W135" t="str">
        <x:f>IF(OR(NOT(ISNUMBER(T135)),NOT(ISNUMBER(K135))),"",T135-K135)</x:f>
      </x:c>
      <x:c r="X135" t="n">
        <x:f>IF(NOT(ISNUMBER(M135)),"",M135/N135)</x:f>
        <x:v>0</x:v>
      </x:c>
    </x:row>
    <x:row r="136">
      <x:c r="A136" t="str">
        <x:v>FLORIDA_ATLANTIC</x:v>
      </x:c>
      <x:c r="B136" t="str">
        <x:v>Florida Atlantic University</x:v>
      </x:c>
      <x:c r="C136" t="str">
        <x:v>FBS</x:v>
      </x:c>
      <x:c r="D136" t="str">
        <x:v>American Athletic</x:v>
      </x:c>
      <x:c r="E136" t="str">
        <x:v>National Southeast</x:v>
      </x:c>
      <x:c r="F136" t="n">
        <x:v>12</x:v>
      </x:c>
      <x:c r="G136" t="n">
        <x:v>0.3046</x:v>
      </x:c>
      <x:c r="H136" t="n">
        <x:v>0.5096</x:v>
      </x:c>
      <x:c r="I136" t="n">
        <x:v>43.6811</x:v>
      </x:c>
      <x:c r="J136" t="n">
        <x:f>IF(ISNUMBER(I136),MAX(1,I136),1)</x:f>
        <x:v>43.6811</x:v>
      </x:c>
      <x:c r="K136"/>
      <x:c r="L136" t="str">
        <x:v>NOT VERIFIED</x:v>
      </x:c>
      <x:c r="M136" t="n">
        <x:f>IF(COUNTIFS('Conference pools'!$A$2:$A$25,D136,'Conference pools'!$D$2:$D$25,"&gt;=0")=0,"",SUMIF('Conference pools'!$A$2:$A$25,D136,'Conference pools'!$D$2:$D$25))</x:f>
        <x:v>0</x:v>
      </x:c>
      <x:c r="N136" t="n">
        <x:f>COUNTIF($D$2:$D$267,D136)</x:f>
        <x:v>14</x:v>
      </x:c>
      <x:c r="O136" t="n">
        <x:f>SUMIF($D$2:$D$267,D136,$J$2:$J$267)</x:f>
        <x:v>720.9868000000001</x:v>
      </x:c>
      <x:c r="P136" t="n">
        <x:f>IF(OR(NOT(ISNUMBER(M136)),O136=0),"",M136*('Conference pools'!$H$2/N136+'Conference pools'!$H$3*J136/O136))</x:f>
        <x:v>0</x:v>
      </x:c>
      <x:c r="Q136" t="n">
        <x:f>IF(COUNTIFS($E$2:$E$267,E136,$X$2:$X$267,"&lt;&gt;")&lt;&gt;COUNTIF($E$2:$E$267,E136),"",SUMIF($E$2:$E$267,E136,$X$2:$X$267))</x:f>
        <x:v>0</x:v>
      </x:c>
      <x:c r="R136" t="n">
        <x:f>COUNTIF($E$2:$E$267,E136)</x:f>
        <x:v>11</x:v>
      </x:c>
      <x:c r="S136" t="n">
        <x:f>SUMIF($E$2:$E$267,E136,$J$2:$J$267)</x:f>
        <x:v>539.8725</x:v>
      </x:c>
      <x:c r="T136" t="n">
        <x:f>IF(OR(NOT(ISNUMBER(Q136)),S136=0),"",Q136*('Conference pools'!$H$2/R136+'Conference pools'!$H$3*J136/S136))</x:f>
        <x:v>0</x:v>
      </x:c>
      <x:c r="U136" t="n">
        <x:f>IF(OR(NOT(ISNUMBER(P136)),NOT(ISNUMBER(T136))),"",T136-P136)</x:f>
        <x:v>0</x:v>
      </x:c>
      <x:c r="V136" s="8" t="str">
        <x:f>IF(OR(NOT(ISNUMBER(U136)),P136=0),"",U136/P136)</x:f>
      </x:c>
      <x:c r="W136" t="str">
        <x:f>IF(OR(NOT(ISNUMBER(T136)),NOT(ISNUMBER(K136))),"",T136-K136)</x:f>
      </x:c>
      <x:c r="X136" t="n">
        <x:f>IF(NOT(ISNUMBER(M136)),"",M136/N136)</x:f>
        <x:v>0</x:v>
      </x:c>
    </x:row>
    <x:row r="137">
      <x:c r="A137" t="str">
        <x:v>GEORGIA_STATE</x:v>
      </x:c>
      <x:c r="B137" t="str">
        <x:v>Georgia State University</x:v>
      </x:c>
      <x:c r="C137" t="str">
        <x:v>FBS</x:v>
      </x:c>
      <x:c r="D137" t="str">
        <x:v>Sun Belt</x:v>
      </x:c>
      <x:c r="E137" t="str">
        <x:v>National Southeast</x:v>
      </x:c>
      <x:c r="F137" t="n">
        <x:v>14</x:v>
      </x:c>
      <x:c r="G137" t="n">
        <x:v>0.2617</x:v>
      </x:c>
      <x:c r="H137" t="n">
        <x:v>0.5604</x:v>
      </x:c>
      <x:c r="I137" t="n">
        <x:v>41.7618</x:v>
      </x:c>
      <x:c r="J137" t="n">
        <x:f>IF(ISNUMBER(I137),MAX(1,I137),1)</x:f>
        <x:v>41.7618</x:v>
      </x:c>
      <x:c r="K137"/>
      <x:c r="L137" t="str">
        <x:v>NOT VERIFIED</x:v>
      </x:c>
      <x:c r="M137" t="n">
        <x:f>IF(COUNTIFS('Conference pools'!$A$2:$A$25,D137,'Conference pools'!$D$2:$D$25,"&gt;=0")=0,"",SUMIF('Conference pools'!$A$2:$A$25,D137,'Conference pools'!$D$2:$D$25))</x:f>
        <x:v>0</x:v>
      </x:c>
      <x:c r="N137" t="n">
        <x:f>COUNTIF($D$2:$D$267,D137)</x:f>
        <x:v>13</x:v>
      </x:c>
      <x:c r="O137" t="n">
        <x:f>SUMIF($D$2:$D$267,D137,$J$2:$J$267)</x:f>
        <x:v>670.3176</x:v>
      </x:c>
      <x:c r="P137" t="n">
        <x:f>IF(OR(NOT(ISNUMBER(M137)),O137=0),"",M137*('Conference pools'!$H$2/N137+'Conference pools'!$H$3*J137/O137))</x:f>
        <x:v>0</x:v>
      </x:c>
      <x:c r="Q137" t="n">
        <x:f>IF(COUNTIFS($E$2:$E$267,E137,$X$2:$X$267,"&lt;&gt;")&lt;&gt;COUNTIF($E$2:$E$267,E137),"",SUMIF($E$2:$E$267,E137,$X$2:$X$267))</x:f>
        <x:v>0</x:v>
      </x:c>
      <x:c r="R137" t="n">
        <x:f>COUNTIF($E$2:$E$267,E137)</x:f>
        <x:v>11</x:v>
      </x:c>
      <x:c r="S137" t="n">
        <x:f>SUMIF($E$2:$E$267,E137,$J$2:$J$267)</x:f>
        <x:v>539.8725</x:v>
      </x:c>
      <x:c r="T137" t="n">
        <x:f>IF(OR(NOT(ISNUMBER(Q137)),S137=0),"",Q137*('Conference pools'!$H$2/R137+'Conference pools'!$H$3*J137/S137))</x:f>
        <x:v>0</x:v>
      </x:c>
      <x:c r="U137" t="n">
        <x:f>IF(OR(NOT(ISNUMBER(P137)),NOT(ISNUMBER(T137))),"",T137-P137)</x:f>
        <x:v>0</x:v>
      </x:c>
      <x:c r="V137" s="8" t="str">
        <x:f>IF(OR(NOT(ISNUMBER(U137)),P137=0),"",U137/P137)</x:f>
      </x:c>
      <x:c r="W137" t="str">
        <x:f>IF(OR(NOT(ISNUMBER(T137)),NOT(ISNUMBER(K137))),"",T137-K137)</x:f>
      </x:c>
      <x:c r="X137" t="n">
        <x:f>IF(NOT(ISNUMBER(M137)),"",M137/N137)</x:f>
        <x:v>0</x:v>
      </x:c>
    </x:row>
    <x:row r="138">
      <x:c r="A138" t="str">
        <x:v>CHARLOTTE</x:v>
      </x:c>
      <x:c r="B138" t="str">
        <x:v>University of North Carolina at Charlotte</x:v>
      </x:c>
      <x:c r="C138" t="str">
        <x:v>FBS</x:v>
      </x:c>
      <x:c r="D138" t="str">
        <x:v>American Athletic</x:v>
      </x:c>
      <x:c r="E138" t="str">
        <x:v>National Southeast</x:v>
      </x:c>
      <x:c r="F138" t="n">
        <x:v>20</x:v>
      </x:c>
      <x:c r="G138" t="n">
        <x:v>0.2404</x:v>
      </x:c>
      <x:c r="H138" t="n">
        <x:v>0.5543</x:v>
      </x:c>
      <x:c r="I138" t="n">
        <x:v>37.3453</x:v>
      </x:c>
      <x:c r="J138" t="n">
        <x:f>IF(ISNUMBER(I138),MAX(1,I138),1)</x:f>
        <x:v>37.3453</x:v>
      </x:c>
      <x:c r="K138"/>
      <x:c r="L138" t="str">
        <x:v>NOT VERIFIED</x:v>
      </x:c>
      <x:c r="M138" t="n">
        <x:f>IF(COUNTIFS('Conference pools'!$A$2:$A$25,D138,'Conference pools'!$D$2:$D$25,"&gt;=0")=0,"",SUMIF('Conference pools'!$A$2:$A$25,D138,'Conference pools'!$D$2:$D$25))</x:f>
        <x:v>0</x:v>
      </x:c>
      <x:c r="N138" t="n">
        <x:f>COUNTIF($D$2:$D$267,D138)</x:f>
        <x:v>14</x:v>
      </x:c>
      <x:c r="O138" t="n">
        <x:f>SUMIF($D$2:$D$267,D138,$J$2:$J$267)</x:f>
        <x:v>720.9868000000001</x:v>
      </x:c>
      <x:c r="P138" t="n">
        <x:f>IF(OR(NOT(ISNUMBER(M138)),O138=0),"",M138*('Conference pools'!$H$2/N138+'Conference pools'!$H$3*J138/O138))</x:f>
        <x:v>0</x:v>
      </x:c>
      <x:c r="Q138" t="n">
        <x:f>IF(COUNTIFS($E$2:$E$267,E138,$X$2:$X$267,"&lt;&gt;")&lt;&gt;COUNTIF($E$2:$E$267,E138),"",SUMIF($E$2:$E$267,E138,$X$2:$X$267))</x:f>
        <x:v>0</x:v>
      </x:c>
      <x:c r="R138" t="n">
        <x:f>COUNTIF($E$2:$E$267,E138)</x:f>
        <x:v>11</x:v>
      </x:c>
      <x:c r="S138" t="n">
        <x:f>SUMIF($E$2:$E$267,E138,$J$2:$J$267)</x:f>
        <x:v>539.8725</x:v>
      </x:c>
      <x:c r="T138" t="n">
        <x:f>IF(OR(NOT(ISNUMBER(Q138)),S138=0),"",Q138*('Conference pools'!$H$2/R138+'Conference pools'!$H$3*J138/S138))</x:f>
        <x:v>0</x:v>
      </x:c>
      <x:c r="U138" t="n">
        <x:f>IF(OR(NOT(ISNUMBER(P138)),NOT(ISNUMBER(T138))),"",T138-P138)</x:f>
        <x:v>0</x:v>
      </x:c>
      <x:c r="V138" s="8" t="str">
        <x:f>IF(OR(NOT(ISNUMBER(U138)),P138=0),"",U138/P138)</x:f>
      </x:c>
      <x:c r="W138" t="str">
        <x:f>IF(OR(NOT(ISNUMBER(T138)),NOT(ISNUMBER(K138))),"",T138-K138)</x:f>
      </x:c>
      <x:c r="X138" t="n">
        <x:f>IF(NOT(ISNUMBER(M138)),"",M138/N138)</x:f>
        <x:v>0</x:v>
      </x:c>
    </x:row>
    <x:row r="139">
      <x:c r="A139" t="str">
        <x:v>UT_MARTIN</x:v>
      </x:c>
      <x:c r="B139" t="str">
        <x:v>University of Tennessee at Martin</x:v>
      </x:c>
      <x:c r="C139" t="str">
        <x:v>FCS</x:v>
      </x:c>
      <x:c r="D139" t="str">
        <x:v>Ohio Valley Conference</x:v>
      </x:c>
      <x:c r="E139" t="str">
        <x:v>Championship Midwest</x:v>
      </x:c>
      <x:c r="F139" t="n">
        <x:v>6</x:v>
      </x:c>
      <x:c r="G139" t="n">
        <x:v>0.6063</x:v>
      </x:c>
      <x:c r="H139" t="n">
        <x:v>0.4554</x:v>
      </x:c>
      <x:c r="I139" t="n">
        <x:v>48.8</x:v>
      </x:c>
      <x:c r="J139" t="n">
        <x:f>IF(ISNUMBER(I139),MAX(1,I139),1)</x:f>
        <x:v>48.8</x:v>
      </x:c>
      <x:c r="K139"/>
      <x:c r="L139" t="str">
        <x:v>NOT VERIFIED</x:v>
      </x:c>
      <x:c r="M139" t="n">
        <x:f>IF(COUNTIFS('Conference pools'!$A$2:$A$25,D139,'Conference pools'!$D$2:$D$25,"&gt;=0")=0,"",SUMIF('Conference pools'!$A$2:$A$25,D139,'Conference pools'!$D$2:$D$25))</x:f>
        <x:v>0</x:v>
      </x:c>
      <x:c r="N139" t="n">
        <x:f>COUNTIF($D$2:$D$267,D139)</x:f>
        <x:v>9</x:v>
      </x:c>
      <x:c r="O139" t="n">
        <x:f>SUMIF($D$2:$D$267,D139,$J$2:$J$267)</x:f>
        <x:v>298.6623</x:v>
      </x:c>
      <x:c r="P139" t="n">
        <x:f>IF(OR(NOT(ISNUMBER(M139)),O139=0),"",M139*('Conference pools'!$H$2/N139+'Conference pools'!$H$3*J139/O139))</x:f>
        <x:v>0</x:v>
      </x:c>
      <x:c r="Q139" t="n">
        <x:f>IF(COUNTIFS($E$2:$E$267,E139,$X$2:$X$267,"&lt;&gt;")&lt;&gt;COUNTIF($E$2:$E$267,E139),"",SUMIF($E$2:$E$267,E139,$X$2:$X$267))</x:f>
        <x:v>0</x:v>
      </x:c>
      <x:c r="R139" t="n">
        <x:f>COUNTIF($E$2:$E$267,E139)</x:f>
        <x:v>12</x:v>
      </x:c>
      <x:c r="S139" t="n">
        <x:f>SUMIF($E$2:$E$267,E139,$J$2:$J$267)</x:f>
        <x:v>528.9622</x:v>
      </x:c>
      <x:c r="T139" t="n">
        <x:f>IF(OR(NOT(ISNUMBER(Q139)),S139=0),"",Q139*('Conference pools'!$H$2/R139+'Conference pools'!$H$3*J139/S139))</x:f>
        <x:v>0</x:v>
      </x:c>
      <x:c r="U139" t="n">
        <x:f>IF(OR(NOT(ISNUMBER(P139)),NOT(ISNUMBER(T139))),"",T139-P139)</x:f>
        <x:v>0</x:v>
      </x:c>
      <x:c r="V139" s="8" t="str">
        <x:f>IF(OR(NOT(ISNUMBER(U139)),P139=0),"",U139/P139)</x:f>
      </x:c>
      <x:c r="W139" t="str">
        <x:f>IF(OR(NOT(ISNUMBER(T139)),NOT(ISNUMBER(K139))),"",T139-K139)</x:f>
      </x:c>
      <x:c r="X139" t="n">
        <x:f>IF(NOT(ISNUMBER(M139)),"",M139/N139)</x:f>
        <x:v>0</x:v>
      </x:c>
    </x:row>
    <x:row r="140">
      <x:c r="A140" t="str">
        <x:v>MERCER</x:v>
      </x:c>
      <x:c r="B140" t="str">
        <x:v>Mercer University</x:v>
      </x:c>
      <x:c r="C140" t="str">
        <x:v>FCS</x:v>
      </x:c>
      <x:c r="D140" t="str">
        <x:v>Southern Conference</x:v>
      </x:c>
      <x:c r="E140" t="str">
        <x:v>Championship Midwest</x:v>
      </x:c>
      <x:c r="F140" t="n">
        <x:v>4</x:v>
      </x:c>
      <x:c r="G140" t="n">
        <x:v>0.7487</x:v>
      </x:c>
      <x:c r="H140" t="n">
        <x:v>0.469</x:v>
      </x:c>
      <x:c r="I140" t="n">
        <x:v>53.9142</x:v>
      </x:c>
      <x:c r="J140" t="n">
        <x:f>IF(ISNUMBER(I140),MAX(1,I140),1)</x:f>
        <x:v>53.9142</x:v>
      </x:c>
      <x:c r="K140"/>
      <x:c r="L140" t="str">
        <x:v>NOT VERIFIED</x:v>
      </x:c>
      <x:c r="M140" t="n">
        <x:f>IF(COUNTIFS('Conference pools'!$A$2:$A$25,D140,'Conference pools'!$D$2:$D$25,"&gt;=0")=0,"",SUMIF('Conference pools'!$A$2:$A$25,D140,'Conference pools'!$D$2:$D$25))</x:f>
        <x:v>0</x:v>
      </x:c>
      <x:c r="N140" t="n">
        <x:f>COUNTIF($D$2:$D$267,D140)</x:f>
        <x:v>10</x:v>
      </x:c>
      <x:c r="O140" t="n">
        <x:f>SUMIF($D$2:$D$267,D140,$J$2:$J$267)</x:f>
        <x:v>405.9278999999999</x:v>
      </x:c>
      <x:c r="P140" t="n">
        <x:f>IF(OR(NOT(ISNUMBER(M140)),O140=0),"",M140*('Conference pools'!$H$2/N140+'Conference pools'!$H$3*J140/O140))</x:f>
        <x:v>0</x:v>
      </x:c>
      <x:c r="Q140" t="n">
        <x:f>IF(COUNTIFS($E$2:$E$267,E140,$X$2:$X$267,"&lt;&gt;")&lt;&gt;COUNTIF($E$2:$E$267,E140),"",SUMIF($E$2:$E$267,E140,$X$2:$X$267))</x:f>
        <x:v>0</x:v>
      </x:c>
      <x:c r="R140" t="n">
        <x:f>COUNTIF($E$2:$E$267,E140)</x:f>
        <x:v>12</x:v>
      </x:c>
      <x:c r="S140" t="n">
        <x:f>SUMIF($E$2:$E$267,E140,$J$2:$J$267)</x:f>
        <x:v>528.9622</x:v>
      </x:c>
      <x:c r="T140" t="n">
        <x:f>IF(OR(NOT(ISNUMBER(Q140)),S140=0),"",Q140*('Conference pools'!$H$2/R140+'Conference pools'!$H$3*J140/S140))</x:f>
        <x:v>0</x:v>
      </x:c>
      <x:c r="U140" t="n">
        <x:f>IF(OR(NOT(ISNUMBER(P140)),NOT(ISNUMBER(T140))),"",T140-P140)</x:f>
        <x:v>0</x:v>
      </x:c>
      <x:c r="V140" s="8" t="str">
        <x:f>IF(OR(NOT(ISNUMBER(U140)),P140=0),"",U140/P140)</x:f>
      </x:c>
      <x:c r="W140" t="str">
        <x:f>IF(OR(NOT(ISNUMBER(T140)),NOT(ISNUMBER(K140))),"",T140-K140)</x:f>
      </x:c>
      <x:c r="X140" t="n">
        <x:f>IF(NOT(ISNUMBER(M140)),"",M140/N140)</x:f>
        <x:v>0</x:v>
      </x:c>
    </x:row>
    <x:row r="141">
      <x:c r="A141" t="str">
        <x:v>SOUTHERN_ILLINOIS</x:v>
      </x:c>
      <x:c r="B141" t="str">
        <x:v>Southern Illinois University Carbondale</x:v>
      </x:c>
      <x:c r="C141" t="str">
        <x:v>FCS</x:v>
      </x:c>
      <x:c r="D141" t="str">
        <x:v>Missouri Valley Football Conference</x:v>
      </x:c>
      <x:c r="E141" t="str">
        <x:v>Championship Midwest</x:v>
      </x:c>
      <x:c r="F141" t="n">
        <x:v>9</x:v>
      </x:c>
      <x:c r="G141" t="n">
        <x:v>0.5075</x:v>
      </x:c>
      <x:c r="H141" t="n">
        <x:v>0.5112</x:v>
      </x:c>
      <x:c r="I141" t="n">
        <x:v>46.2135</x:v>
      </x:c>
      <x:c r="J141" t="n">
        <x:f>IF(ISNUMBER(I141),MAX(1,I141),1)</x:f>
        <x:v>46.2135</x:v>
      </x:c>
      <x:c r="K141"/>
      <x:c r="L141" t="str">
        <x:v>NOT VERIFIED</x:v>
      </x:c>
      <x:c r="M141" t="n">
        <x:f>IF(COUNTIFS('Conference pools'!$A$2:$A$25,D141,'Conference pools'!$D$2:$D$25,"&gt;=0")=0,"",SUMIF('Conference pools'!$A$2:$A$25,D141,'Conference pools'!$D$2:$D$25))</x:f>
        <x:v>0</x:v>
      </x:c>
      <x:c r="N141" t="n">
        <x:f>COUNTIF($D$2:$D$267,D141)</x:f>
        <x:v>9</x:v>
      </x:c>
      <x:c r="O141" t="n">
        <x:f>SUMIF($D$2:$D$267,D141,$J$2:$J$267)</x:f>
        <x:v>406.3407</x:v>
      </x:c>
      <x:c r="P141" t="n">
        <x:f>IF(OR(NOT(ISNUMBER(M141)),O141=0),"",M141*('Conference pools'!$H$2/N141+'Conference pools'!$H$3*J141/O141))</x:f>
        <x:v>0</x:v>
      </x:c>
      <x:c r="Q141" t="n">
        <x:f>IF(COUNTIFS($E$2:$E$267,E141,$X$2:$X$267,"&lt;&gt;")&lt;&gt;COUNTIF($E$2:$E$267,E141),"",SUMIF($E$2:$E$267,E141,$X$2:$X$267))</x:f>
        <x:v>0</x:v>
      </x:c>
      <x:c r="R141" t="n">
        <x:f>COUNTIF($E$2:$E$267,E141)</x:f>
        <x:v>12</x:v>
      </x:c>
      <x:c r="S141" t="n">
        <x:f>SUMIF($E$2:$E$267,E141,$J$2:$J$267)</x:f>
        <x:v>528.9622</x:v>
      </x:c>
      <x:c r="T141" t="n">
        <x:f>IF(OR(NOT(ISNUMBER(Q141)),S141=0),"",Q141*('Conference pools'!$H$2/R141+'Conference pools'!$H$3*J141/S141))</x:f>
        <x:v>0</x:v>
      </x:c>
      <x:c r="U141" t="n">
        <x:f>IF(OR(NOT(ISNUMBER(P141)),NOT(ISNUMBER(T141))),"",T141-P141)</x:f>
        <x:v>0</x:v>
      </x:c>
      <x:c r="V141" s="8" t="str">
        <x:f>IF(OR(NOT(ISNUMBER(U141)),P141=0),"",U141/P141)</x:f>
      </x:c>
      <x:c r="W141" t="str">
        <x:f>IF(OR(NOT(ISNUMBER(T141)),NOT(ISNUMBER(K141))),"",T141-K141)</x:f>
      </x:c>
      <x:c r="X141" t="n">
        <x:f>IF(NOT(ISNUMBER(M141)),"",M141/N141)</x:f>
        <x:v>0</x:v>
      </x:c>
    </x:row>
    <x:row r="142">
      <x:c r="A142" t="str">
        <x:v>BUTLER</x:v>
      </x:c>
      <x:c r="B142" t="str">
        <x:v>Butler University</x:v>
      </x:c>
      <x:c r="C142" t="str">
        <x:v>FCS</x:v>
      </x:c>
      <x:c r="D142" t="str">
        <x:v>Pioneer Football League</x:v>
      </x:c>
      <x:c r="E142" t="str">
        <x:v>Championship Midwest</x:v>
      </x:c>
      <x:c r="F142" t="n">
        <x:v>10</x:v>
      </x:c>
      <x:c r="G142" t="n">
        <x:v>0.6204</x:v>
      </x:c>
      <x:c r="H142" t="n">
        <x:v>0.5134</x:v>
      </x:c>
      <x:c r="I142" t="n">
        <x:v>44.9071</x:v>
      </x:c>
      <x:c r="J142" t="n">
        <x:f>IF(ISNUMBER(I142),MAX(1,I142),1)</x:f>
        <x:v>44.9071</x:v>
      </x:c>
      <x:c r="K142"/>
      <x:c r="L142" t="str">
        <x:v>NOT VERIFIED</x:v>
      </x:c>
      <x:c r="M142" t="n">
        <x:f>IF(COUNTIFS('Conference pools'!$A$2:$A$25,D142,'Conference pools'!$D$2:$D$25,"&gt;=0")=0,"",SUMIF('Conference pools'!$A$2:$A$25,D142,'Conference pools'!$D$2:$D$25))</x:f>
        <x:v>0</x:v>
      </x:c>
      <x:c r="N142" t="n">
        <x:f>COUNTIF($D$2:$D$267,D142)</x:f>
        <x:v>11</x:v>
      </x:c>
      <x:c r="O142" t="n">
        <x:f>SUMIF($D$2:$D$267,D142,$J$2:$J$267)</x:f>
        <x:v>418.72029999999995</x:v>
      </x:c>
      <x:c r="P142" t="n">
        <x:f>IF(OR(NOT(ISNUMBER(M142)),O142=0),"",M142*('Conference pools'!$H$2/N142+'Conference pools'!$H$3*J142/O142))</x:f>
        <x:v>0</x:v>
      </x:c>
      <x:c r="Q142" t="n">
        <x:f>IF(COUNTIFS($E$2:$E$267,E142,$X$2:$X$267,"&lt;&gt;")&lt;&gt;COUNTIF($E$2:$E$267,E142),"",SUMIF($E$2:$E$267,E142,$X$2:$X$267))</x:f>
        <x:v>0</x:v>
      </x:c>
      <x:c r="R142" t="n">
        <x:f>COUNTIF($E$2:$E$267,E142)</x:f>
        <x:v>12</x:v>
      </x:c>
      <x:c r="S142" t="n">
        <x:f>SUMIF($E$2:$E$267,E142,$J$2:$J$267)</x:f>
        <x:v>528.9622</x:v>
      </x:c>
      <x:c r="T142" t="n">
        <x:f>IF(OR(NOT(ISNUMBER(Q142)),S142=0),"",Q142*('Conference pools'!$H$2/R142+'Conference pools'!$H$3*J142/S142))</x:f>
        <x:v>0</x:v>
      </x:c>
      <x:c r="U142" t="n">
        <x:f>IF(OR(NOT(ISNUMBER(P142)),NOT(ISNUMBER(T142))),"",T142-P142)</x:f>
        <x:v>0</x:v>
      </x:c>
      <x:c r="V142" s="8" t="str">
        <x:f>IF(OR(NOT(ISNUMBER(U142)),P142=0),"",U142/P142)</x:f>
      </x:c>
      <x:c r="W142" t="str">
        <x:f>IF(OR(NOT(ISNUMBER(T142)),NOT(ISNUMBER(K142))),"",T142-K142)</x:f>
      </x:c>
      <x:c r="X142" t="n">
        <x:f>IF(NOT(ISNUMBER(M142)),"",M142/N142)</x:f>
        <x:v>0</x:v>
      </x:c>
    </x:row>
    <x:row r="143">
      <x:c r="A143" t="str">
        <x:v>CHATTANOOGA</x:v>
      </x:c>
      <x:c r="B143" t="str">
        <x:v>University of Tennessee at Chattanooga</x:v>
      </x:c>
      <x:c r="C143" t="str">
        <x:v>FCS</x:v>
      </x:c>
      <x:c r="D143" t="str">
        <x:v>Southern Conference</x:v>
      </x:c>
      <x:c r="E143" t="str">
        <x:v>Championship Midwest</x:v>
      </x:c>
      <x:c r="F143" t="n">
        <x:v>10</x:v>
      </x:c>
      <x:c r="G143" t="n">
        <x:v>0.5263</x:v>
      </x:c>
      <x:c r="H143" t="n">
        <x:v>0.4758</x:v>
      </x:c>
      <x:c r="I143" t="n">
        <x:v>45.4495</x:v>
      </x:c>
      <x:c r="J143" t="n">
        <x:f>IF(ISNUMBER(I143),MAX(1,I143),1)</x:f>
        <x:v>45.4495</x:v>
      </x:c>
      <x:c r="K143"/>
      <x:c r="L143" t="str">
        <x:v>NOT VERIFIED</x:v>
      </x:c>
      <x:c r="M143" t="n">
        <x:f>IF(COUNTIFS('Conference pools'!$A$2:$A$25,D143,'Conference pools'!$D$2:$D$25,"&gt;=0")=0,"",SUMIF('Conference pools'!$A$2:$A$25,D143,'Conference pools'!$D$2:$D$25))</x:f>
        <x:v>0</x:v>
      </x:c>
      <x:c r="N143" t="n">
        <x:f>COUNTIF($D$2:$D$267,D143)</x:f>
        <x:v>10</x:v>
      </x:c>
      <x:c r="O143" t="n">
        <x:f>SUMIF($D$2:$D$267,D143,$J$2:$J$267)</x:f>
        <x:v>405.9278999999999</x:v>
      </x:c>
      <x:c r="P143" t="n">
        <x:f>IF(OR(NOT(ISNUMBER(M143)),O143=0),"",M143*('Conference pools'!$H$2/N143+'Conference pools'!$H$3*J143/O143))</x:f>
        <x:v>0</x:v>
      </x:c>
      <x:c r="Q143" t="n">
        <x:f>IF(COUNTIFS($E$2:$E$267,E143,$X$2:$X$267,"&lt;&gt;")&lt;&gt;COUNTIF($E$2:$E$267,E143),"",SUMIF($E$2:$E$267,E143,$X$2:$X$267))</x:f>
        <x:v>0</x:v>
      </x:c>
      <x:c r="R143" t="n">
        <x:f>COUNTIF($E$2:$E$267,E143)</x:f>
        <x:v>12</x:v>
      </x:c>
      <x:c r="S143" t="n">
        <x:f>SUMIF($E$2:$E$267,E143,$J$2:$J$267)</x:f>
        <x:v>528.9622</x:v>
      </x:c>
      <x:c r="T143" t="n">
        <x:f>IF(OR(NOT(ISNUMBER(Q143)),S143=0),"",Q143*('Conference pools'!$H$2/R143+'Conference pools'!$H$3*J143/S143))</x:f>
        <x:v>0</x:v>
      </x:c>
      <x:c r="U143" t="n">
        <x:f>IF(OR(NOT(ISNUMBER(P143)),NOT(ISNUMBER(T143))),"",T143-P143)</x:f>
        <x:v>0</x:v>
      </x:c>
      <x:c r="V143" s="8" t="str">
        <x:f>IF(OR(NOT(ISNUMBER(U143)),P143=0),"",U143/P143)</x:f>
      </x:c>
      <x:c r="W143" t="str">
        <x:f>IF(OR(NOT(ISNUMBER(T143)),NOT(ISNUMBER(K143))),"",T143-K143)</x:f>
      </x:c>
      <x:c r="X143" t="n">
        <x:f>IF(NOT(ISNUMBER(M143)),"",M143/N143)</x:f>
        <x:v>0</x:v>
      </x:c>
    </x:row>
    <x:row r="144">
      <x:c r="A144" t="str">
        <x:v>EASTERN_KENTUCKY</x:v>
      </x:c>
      <x:c r="B144" t="str">
        <x:v>Eastern Kentucky University</x:v>
      </x:c>
      <x:c r="C144" t="str">
        <x:v>FCS</x:v>
      </x:c>
      <x:c r="D144" t="str">
        <x:v>United Athletic Conference</x:v>
      </x:c>
      <x:c r="E144" t="str">
        <x:v>Championship Midwest</x:v>
      </x:c>
      <x:c r="F144" t="n">
        <x:v>12</x:v>
      </x:c>
      <x:c r="G144" t="n">
        <x:v>0.499</x:v>
      </x:c>
      <x:c r="H144" t="n">
        <x:v>0.4685</x:v>
      </x:c>
      <x:c r="I144" t="n">
        <x:v>43.2708</x:v>
      </x:c>
      <x:c r="J144" t="n">
        <x:f>IF(ISNUMBER(I144),MAX(1,I144),1)</x:f>
        <x:v>43.2708</x:v>
      </x:c>
      <x:c r="K144"/>
      <x:c r="L144" t="str">
        <x:v>NOT VERIFIED</x:v>
      </x:c>
      <x:c r="M144" t="n">
        <x:f>IF(COUNTIFS('Conference pools'!$A$2:$A$25,D144,'Conference pools'!$D$2:$D$25,"&gt;=0")=0,"",SUMIF('Conference pools'!$A$2:$A$25,D144,'Conference pools'!$D$2:$D$25))</x:f>
        <x:v>0</x:v>
      </x:c>
      <x:c r="N144" t="n">
        <x:f>COUNTIF($D$2:$D$267,D144)</x:f>
        <x:v>8</x:v>
      </x:c>
      <x:c r="O144" t="n">
        <x:f>SUMIF($D$2:$D$267,D144,$J$2:$J$267)</x:f>
        <x:v>355.5065</x:v>
      </x:c>
      <x:c r="P144" t="n">
        <x:f>IF(OR(NOT(ISNUMBER(M144)),O144=0),"",M144*('Conference pools'!$H$2/N144+'Conference pools'!$H$3*J144/O144))</x:f>
        <x:v>0</x:v>
      </x:c>
      <x:c r="Q144" t="n">
        <x:f>IF(COUNTIFS($E$2:$E$267,E144,$X$2:$X$267,"&lt;&gt;")&lt;&gt;COUNTIF($E$2:$E$267,E144),"",SUMIF($E$2:$E$267,E144,$X$2:$X$267))</x:f>
        <x:v>0</x:v>
      </x:c>
      <x:c r="R144" t="n">
        <x:f>COUNTIF($E$2:$E$267,E144)</x:f>
        <x:v>12</x:v>
      </x:c>
      <x:c r="S144" t="n">
        <x:f>SUMIF($E$2:$E$267,E144,$J$2:$J$267)</x:f>
        <x:v>528.9622</x:v>
      </x:c>
      <x:c r="T144" t="n">
        <x:f>IF(OR(NOT(ISNUMBER(Q144)),S144=0),"",Q144*('Conference pools'!$H$2/R144+'Conference pools'!$H$3*J144/S144))</x:f>
        <x:v>0</x:v>
      </x:c>
      <x:c r="U144" t="n">
        <x:f>IF(OR(NOT(ISNUMBER(P144)),NOT(ISNUMBER(T144))),"",T144-P144)</x:f>
        <x:v>0</x:v>
      </x:c>
      <x:c r="V144" s="8" t="str">
        <x:f>IF(OR(NOT(ISNUMBER(U144)),P144=0),"",U144/P144)</x:f>
      </x:c>
      <x:c r="W144" t="str">
        <x:f>IF(OR(NOT(ISNUMBER(T144)),NOT(ISNUMBER(K144))),"",T144-K144)</x:f>
      </x:c>
      <x:c r="X144" t="n">
        <x:f>IF(NOT(ISNUMBER(M144)),"",M144/N144)</x:f>
        <x:v>0</x:v>
      </x:c>
    </x:row>
    <x:row r="145">
      <x:c r="A145" t="str">
        <x:v>ILLINOIS_STATE</x:v>
      </x:c>
      <x:c r="B145" t="str">
        <x:v>Illinois State University</x:v>
      </x:c>
      <x:c r="C145" t="str">
        <x:v>FCS</x:v>
      </x:c>
      <x:c r="D145" t="str">
        <x:v>Missouri Valley Football Conference</x:v>
      </x:c>
      <x:c r="E145" t="str">
        <x:v>Championship Midwest</x:v>
      </x:c>
      <x:c r="F145" t="n">
        <x:v>5</x:v>
      </x:c>
      <x:c r="G145" t="n">
        <x:v>0.6778</x:v>
      </x:c>
      <x:c r="H145" t="n">
        <x:v>0.5015</x:v>
      </x:c>
      <x:c r="I145" t="n">
        <x:v>52.3356</x:v>
      </x:c>
      <x:c r="J145" t="n">
        <x:f>IF(ISNUMBER(I145),MAX(1,I145),1)</x:f>
        <x:v>52.3356</x:v>
      </x:c>
      <x:c r="K145"/>
      <x:c r="L145" t="str">
        <x:v>NOT VERIFIED</x:v>
      </x:c>
      <x:c r="M145" t="n">
        <x:f>IF(COUNTIFS('Conference pools'!$A$2:$A$25,D145,'Conference pools'!$D$2:$D$25,"&gt;=0")=0,"",SUMIF('Conference pools'!$A$2:$A$25,D145,'Conference pools'!$D$2:$D$25))</x:f>
        <x:v>0</x:v>
      </x:c>
      <x:c r="N145" t="n">
        <x:f>COUNTIF($D$2:$D$267,D145)</x:f>
        <x:v>9</x:v>
      </x:c>
      <x:c r="O145" t="n">
        <x:f>SUMIF($D$2:$D$267,D145,$J$2:$J$267)</x:f>
        <x:v>406.3407</x:v>
      </x:c>
      <x:c r="P145" t="n">
        <x:f>IF(OR(NOT(ISNUMBER(M145)),O145=0),"",M145*('Conference pools'!$H$2/N145+'Conference pools'!$H$3*J145/O145))</x:f>
        <x:v>0</x:v>
      </x:c>
      <x:c r="Q145" t="n">
        <x:f>IF(COUNTIFS($E$2:$E$267,E145,$X$2:$X$267,"&lt;&gt;")&lt;&gt;COUNTIF($E$2:$E$267,E145),"",SUMIF($E$2:$E$267,E145,$X$2:$X$267))</x:f>
        <x:v>0</x:v>
      </x:c>
      <x:c r="R145" t="n">
        <x:f>COUNTIF($E$2:$E$267,E145)</x:f>
        <x:v>12</x:v>
      </x:c>
      <x:c r="S145" t="n">
        <x:f>SUMIF($E$2:$E$267,E145,$J$2:$J$267)</x:f>
        <x:v>528.9622</x:v>
      </x:c>
      <x:c r="T145" t="n">
        <x:f>IF(OR(NOT(ISNUMBER(Q145)),S145=0),"",Q145*('Conference pools'!$H$2/R145+'Conference pools'!$H$3*J145/S145))</x:f>
        <x:v>0</x:v>
      </x:c>
      <x:c r="U145" t="n">
        <x:f>IF(OR(NOT(ISNUMBER(P145)),NOT(ISNUMBER(T145))),"",T145-P145)</x:f>
        <x:v>0</x:v>
      </x:c>
      <x:c r="V145" s="8" t="str">
        <x:f>IF(OR(NOT(ISNUMBER(U145)),P145=0),"",U145/P145)</x:f>
      </x:c>
      <x:c r="W145" t="str">
        <x:f>IF(OR(NOT(ISNUMBER(T145)),NOT(ISNUMBER(K145))),"",T145-K145)</x:f>
      </x:c>
      <x:c r="X145" t="n">
        <x:f>IF(NOT(ISNUMBER(M145)),"",M145/N145)</x:f>
        <x:v>0</x:v>
      </x:c>
    </x:row>
    <x:row r="146">
      <x:c r="A146" t="str">
        <x:v>NORTHERN_IOWA</x:v>
      </x:c>
      <x:c r="B146" t="str">
        <x:v>University of Northern Iowa</x:v>
      </x:c>
      <x:c r="C146" t="str">
        <x:v>FCS</x:v>
      </x:c>
      <x:c r="D146" t="str">
        <x:v>Missouri Valley Football Conference</x:v>
      </x:c>
      <x:c r="E146" t="str">
        <x:v>Championship Midwest</x:v>
      </x:c>
      <x:c r="F146" t="n">
        <x:v>19</x:v>
      </x:c>
      <x:c r="G146" t="n">
        <x:v>0.32</x:v>
      </x:c>
      <x:c r="H146" t="n">
        <x:v>0.5244</x:v>
      </x:c>
      <x:c r="I146" t="n">
        <x:v>38.2779</x:v>
      </x:c>
      <x:c r="J146" t="n">
        <x:f>IF(ISNUMBER(I146),MAX(1,I146),1)</x:f>
        <x:v>38.2779</x:v>
      </x:c>
      <x:c r="K146"/>
      <x:c r="L146" t="str">
        <x:v>NOT VERIFIED</x:v>
      </x:c>
      <x:c r="M146" t="n">
        <x:f>IF(COUNTIFS('Conference pools'!$A$2:$A$25,D146,'Conference pools'!$D$2:$D$25,"&gt;=0")=0,"",SUMIF('Conference pools'!$A$2:$A$25,D146,'Conference pools'!$D$2:$D$25))</x:f>
        <x:v>0</x:v>
      </x:c>
      <x:c r="N146" t="n">
        <x:f>COUNTIF($D$2:$D$267,D146)</x:f>
        <x:v>9</x:v>
      </x:c>
      <x:c r="O146" t="n">
        <x:f>SUMIF($D$2:$D$267,D146,$J$2:$J$267)</x:f>
        <x:v>406.3407</x:v>
      </x:c>
      <x:c r="P146" t="n">
        <x:f>IF(OR(NOT(ISNUMBER(M146)),O146=0),"",M146*('Conference pools'!$H$2/N146+'Conference pools'!$H$3*J146/O146))</x:f>
        <x:v>0</x:v>
      </x:c>
      <x:c r="Q146" t="n">
        <x:f>IF(COUNTIFS($E$2:$E$267,E146,$X$2:$X$267,"&lt;&gt;")&lt;&gt;COUNTIF($E$2:$E$267,E146),"",SUMIF($E$2:$E$267,E146,$X$2:$X$267))</x:f>
        <x:v>0</x:v>
      </x:c>
      <x:c r="R146" t="n">
        <x:f>COUNTIF($E$2:$E$267,E146)</x:f>
        <x:v>12</x:v>
      </x:c>
      <x:c r="S146" t="n">
        <x:f>SUMIF($E$2:$E$267,E146,$J$2:$J$267)</x:f>
        <x:v>528.9622</x:v>
      </x:c>
      <x:c r="T146" t="n">
        <x:f>IF(OR(NOT(ISNUMBER(Q146)),S146=0),"",Q146*('Conference pools'!$H$2/R146+'Conference pools'!$H$3*J146/S146))</x:f>
        <x:v>0</x:v>
      </x:c>
      <x:c r="U146" t="n">
        <x:f>IF(OR(NOT(ISNUMBER(P146)),NOT(ISNUMBER(T146))),"",T146-P146)</x:f>
        <x:v>0</x:v>
      </x:c>
      <x:c r="V146" s="8" t="str">
        <x:f>IF(OR(NOT(ISNUMBER(U146)),P146=0),"",U146/P146)</x:f>
      </x:c>
      <x:c r="W146" t="str">
        <x:f>IF(OR(NOT(ISNUMBER(T146)),NOT(ISNUMBER(K146))),"",T146-K146)</x:f>
      </x:c>
      <x:c r="X146" t="n">
        <x:f>IF(NOT(ISNUMBER(M146)),"",M146/N146)</x:f>
        <x:v>0</x:v>
      </x:c>
    </x:row>
    <x:row r="147">
      <x:c r="A147" t="str">
        <x:v>SAMFORD</x:v>
      </x:c>
      <x:c r="B147" t="str">
        <x:v>Samford University</x:v>
      </x:c>
      <x:c r="C147" t="str">
        <x:v>FCS</x:v>
      </x:c>
      <x:c r="D147" t="str">
        <x:v>Southern Conference</x:v>
      </x:c>
      <x:c r="E147" t="str">
        <x:v>Championship Midwest</x:v>
      </x:c>
      <x:c r="F147" t="n">
        <x:v>23</x:v>
      </x:c>
      <x:c r="G147" t="n">
        <x:v>0.2893</x:v>
      </x:c>
      <x:c r="H147" t="n">
        <x:v>0.5051</x:v>
      </x:c>
      <x:c r="I147" t="n">
        <x:v>35.2813</x:v>
      </x:c>
      <x:c r="J147" t="n">
        <x:f>IF(ISNUMBER(I147),MAX(1,I147),1)</x:f>
        <x:v>35.2813</x:v>
      </x:c>
      <x:c r="K147"/>
      <x:c r="L147" t="str">
        <x:v>NOT VERIFIED</x:v>
      </x:c>
      <x:c r="M147" t="n">
        <x:f>IF(COUNTIFS('Conference pools'!$A$2:$A$25,D147,'Conference pools'!$D$2:$D$25,"&gt;=0")=0,"",SUMIF('Conference pools'!$A$2:$A$25,D147,'Conference pools'!$D$2:$D$25))</x:f>
        <x:v>0</x:v>
      </x:c>
      <x:c r="N147" t="n">
        <x:f>COUNTIF($D$2:$D$267,D147)</x:f>
        <x:v>10</x:v>
      </x:c>
      <x:c r="O147" t="n">
        <x:f>SUMIF($D$2:$D$267,D147,$J$2:$J$267)</x:f>
        <x:v>405.9278999999999</x:v>
      </x:c>
      <x:c r="P147" t="n">
        <x:f>IF(OR(NOT(ISNUMBER(M147)),O147=0),"",M147*('Conference pools'!$H$2/N147+'Conference pools'!$H$3*J147/O147))</x:f>
        <x:v>0</x:v>
      </x:c>
      <x:c r="Q147" t="n">
        <x:f>IF(COUNTIFS($E$2:$E$267,E147,$X$2:$X$267,"&lt;&gt;")&lt;&gt;COUNTIF($E$2:$E$267,E147),"",SUMIF($E$2:$E$267,E147,$X$2:$X$267))</x:f>
        <x:v>0</x:v>
      </x:c>
      <x:c r="R147" t="n">
        <x:f>COUNTIF($E$2:$E$267,E147)</x:f>
        <x:v>12</x:v>
      </x:c>
      <x:c r="S147" t="n">
        <x:f>SUMIF($E$2:$E$267,E147,$J$2:$J$267)</x:f>
        <x:v>528.9622</x:v>
      </x:c>
      <x:c r="T147" t="n">
        <x:f>IF(OR(NOT(ISNUMBER(Q147)),S147=0),"",Q147*('Conference pools'!$H$2/R147+'Conference pools'!$H$3*J147/S147))</x:f>
        <x:v>0</x:v>
      </x:c>
      <x:c r="U147" t="n">
        <x:f>IF(OR(NOT(ISNUMBER(P147)),NOT(ISNUMBER(T147))),"",T147-P147)</x:f>
        <x:v>0</x:v>
      </x:c>
      <x:c r="V147" s="8" t="str">
        <x:f>IF(OR(NOT(ISNUMBER(U147)),P147=0),"",U147/P147)</x:f>
      </x:c>
      <x:c r="W147" t="str">
        <x:f>IF(OR(NOT(ISNUMBER(T147)),NOT(ISNUMBER(K147))),"",T147-K147)</x:f>
      </x:c>
      <x:c r="X147" t="n">
        <x:f>IF(NOT(ISNUMBER(M147)),"",M147/N147)</x:f>
        <x:v>0</x:v>
      </x:c>
    </x:row>
    <x:row r="148">
      <x:c r="A148" t="str">
        <x:v>TENNESSEE_STATE</x:v>
      </x:c>
      <x:c r="B148" t="str">
        <x:v>Tennessee State University</x:v>
      </x:c>
      <x:c r="C148" t="str">
        <x:v>FCS</x:v>
      </x:c>
      <x:c r="D148" t="str">
        <x:v>Ohio Valley Conference</x:v>
      </x:c>
      <x:c r="E148" t="str">
        <x:v>Championship Midwest</x:v>
      </x:c>
      <x:c r="F148" t="n">
        <x:v>19</x:v>
      </x:c>
      <x:c r="G148" t="n">
        <x:v>0.4487</x:v>
      </x:c>
      <x:c r="H148" t="n">
        <x:v>0.4499</x:v>
      </x:c>
      <x:c r="I148" t="n">
        <x:v>37.7138</x:v>
      </x:c>
      <x:c r="J148" t="n">
        <x:f>IF(ISNUMBER(I148),MAX(1,I148),1)</x:f>
        <x:v>37.7138</x:v>
      </x:c>
      <x:c r="K148"/>
      <x:c r="L148" t="str">
        <x:v>NOT VERIFIED</x:v>
      </x:c>
      <x:c r="M148" t="n">
        <x:f>IF(COUNTIFS('Conference pools'!$A$2:$A$25,D148,'Conference pools'!$D$2:$D$25,"&gt;=0")=0,"",SUMIF('Conference pools'!$A$2:$A$25,D148,'Conference pools'!$D$2:$D$25))</x:f>
        <x:v>0</x:v>
      </x:c>
      <x:c r="N148" t="n">
        <x:f>COUNTIF($D$2:$D$267,D148)</x:f>
        <x:v>9</x:v>
      </x:c>
      <x:c r="O148" t="n">
        <x:f>SUMIF($D$2:$D$267,D148,$J$2:$J$267)</x:f>
        <x:v>298.6623</x:v>
      </x:c>
      <x:c r="P148" t="n">
        <x:f>IF(OR(NOT(ISNUMBER(M148)),O148=0),"",M148*('Conference pools'!$H$2/N148+'Conference pools'!$H$3*J148/O148))</x:f>
        <x:v>0</x:v>
      </x:c>
      <x:c r="Q148" t="n">
        <x:f>IF(COUNTIFS($E$2:$E$267,E148,$X$2:$X$267,"&lt;&gt;")&lt;&gt;COUNTIF($E$2:$E$267,E148),"",SUMIF($E$2:$E$267,E148,$X$2:$X$267))</x:f>
        <x:v>0</x:v>
      </x:c>
      <x:c r="R148" t="n">
        <x:f>COUNTIF($E$2:$E$267,E148)</x:f>
        <x:v>12</x:v>
      </x:c>
      <x:c r="S148" t="n">
        <x:f>SUMIF($E$2:$E$267,E148,$J$2:$J$267)</x:f>
        <x:v>528.9622</x:v>
      </x:c>
      <x:c r="T148" t="n">
        <x:f>IF(OR(NOT(ISNUMBER(Q148)),S148=0),"",Q148*('Conference pools'!$H$2/R148+'Conference pools'!$H$3*J148/S148))</x:f>
        <x:v>0</x:v>
      </x:c>
      <x:c r="U148" t="n">
        <x:f>IF(OR(NOT(ISNUMBER(P148)),NOT(ISNUMBER(T148))),"",T148-P148)</x:f>
        <x:v>0</x:v>
      </x:c>
      <x:c r="V148" s="8" t="str">
        <x:f>IF(OR(NOT(ISNUMBER(U148)),P148=0),"",U148/P148)</x:f>
      </x:c>
      <x:c r="W148" t="str">
        <x:f>IF(OR(NOT(ISNUMBER(T148)),NOT(ISNUMBER(K148))),"",T148-K148)</x:f>
      </x:c>
      <x:c r="X148" t="n">
        <x:f>IF(NOT(ISNUMBER(M148)),"",M148/N148)</x:f>
        <x:v>0</x:v>
      </x:c>
    </x:row>
    <x:row r="149">
      <x:c r="A149" t="str">
        <x:v>AUSTIN_PEAY</x:v>
      </x:c>
      <x:c r="B149" t="str">
        <x:v>Austin Peay State University</x:v>
      </x:c>
      <x:c r="C149" t="str">
        <x:v>FCS</x:v>
      </x:c>
      <x:c r="D149" t="str">
        <x:v>United Athletic Conference</x:v>
      </x:c>
      <x:c r="E149" t="str">
        <x:v>Championship Midwest</x:v>
      </x:c>
      <x:c r="F149" t="n">
        <x:v>9</x:v>
      </x:c>
      <x:c r="G149" t="n">
        <x:v>0.5393</x:v>
      </x:c>
      <x:c r="H149" t="n">
        <x:v>0.4676</x:v>
      </x:c>
      <x:c r="I149" t="n">
        <x:v>45.7828</x:v>
      </x:c>
      <x:c r="J149" t="n">
        <x:f>IF(ISNUMBER(I149),MAX(1,I149),1)</x:f>
        <x:v>45.7828</x:v>
      </x:c>
      <x:c r="K149"/>
      <x:c r="L149" t="str">
        <x:v>NOT VERIFIED</x:v>
      </x:c>
      <x:c r="M149" t="n">
        <x:f>IF(COUNTIFS('Conference pools'!$A$2:$A$25,D149,'Conference pools'!$D$2:$D$25,"&gt;=0")=0,"",SUMIF('Conference pools'!$A$2:$A$25,D149,'Conference pools'!$D$2:$D$25))</x:f>
        <x:v>0</x:v>
      </x:c>
      <x:c r="N149" t="n">
        <x:f>COUNTIF($D$2:$D$267,D149)</x:f>
        <x:v>8</x:v>
      </x:c>
      <x:c r="O149" t="n">
        <x:f>SUMIF($D$2:$D$267,D149,$J$2:$J$267)</x:f>
        <x:v>355.5065</x:v>
      </x:c>
      <x:c r="P149" t="n">
        <x:f>IF(OR(NOT(ISNUMBER(M149)),O149=0),"",M149*('Conference pools'!$H$2/N149+'Conference pools'!$H$3*J149/O149))</x:f>
        <x:v>0</x:v>
      </x:c>
      <x:c r="Q149" t="n">
        <x:f>IF(COUNTIFS($E$2:$E$267,E149,$X$2:$X$267,"&lt;&gt;")&lt;&gt;COUNTIF($E$2:$E$267,E149),"",SUMIF($E$2:$E$267,E149,$X$2:$X$267))</x:f>
        <x:v>0</x:v>
      </x:c>
      <x:c r="R149" t="n">
        <x:f>COUNTIF($E$2:$E$267,E149)</x:f>
        <x:v>12</x:v>
      </x:c>
      <x:c r="S149" t="n">
        <x:f>SUMIF($E$2:$E$267,E149,$J$2:$J$267)</x:f>
        <x:v>528.9622</x:v>
      </x:c>
      <x:c r="T149" t="n">
        <x:f>IF(OR(NOT(ISNUMBER(Q149)),S149=0),"",Q149*('Conference pools'!$H$2/R149+'Conference pools'!$H$3*J149/S149))</x:f>
        <x:v>0</x:v>
      </x:c>
      <x:c r="U149" t="n">
        <x:f>IF(OR(NOT(ISNUMBER(P149)),NOT(ISNUMBER(T149))),"",T149-P149)</x:f>
        <x:v>0</x:v>
      </x:c>
      <x:c r="V149" s="8" t="str">
        <x:f>IF(OR(NOT(ISNUMBER(U149)),P149=0),"",U149/P149)</x:f>
      </x:c>
      <x:c r="W149" t="str">
        <x:f>IF(OR(NOT(ISNUMBER(T149)),NOT(ISNUMBER(K149))),"",T149-K149)</x:f>
      </x:c>
      <x:c r="X149" t="n">
        <x:f>IF(NOT(ISNUMBER(M149)),"",M149/N149)</x:f>
        <x:v>0</x:v>
      </x:c>
    </x:row>
    <x:row r="150">
      <x:c r="A150" t="str">
        <x:v>ALABAMA_AM</x:v>
      </x:c>
      <x:c r="B150" t="str">
        <x:v>Alabama A&amp;M University</x:v>
      </x:c>
      <x:c r="C150" t="str">
        <x:v>FCS</x:v>
      </x:c>
      <x:c r="D150" t="str">
        <x:v>Southwestern Athletic Conference</x:v>
      </x:c>
      <x:c r="E150" t="str">
        <x:v>Championship Midwest</x:v>
      </x:c>
      <x:c r="F150" t="n">
        <x:v>20</x:v>
      </x:c>
      <x:c r="G150" t="n">
        <x:v>0.4207</x:v>
      </x:c>
      <x:c r="H150" t="n">
        <x:v>0.4566</x:v>
      </x:c>
      <x:c r="I150" t="n">
        <x:v>37.0157</x:v>
      </x:c>
      <x:c r="J150" t="n">
        <x:f>IF(ISNUMBER(I150),MAX(1,I150),1)</x:f>
        <x:v>37.0157</x:v>
      </x:c>
      <x:c r="K150"/>
      <x:c r="L150" t="str">
        <x:v>NOT VERIFIED</x:v>
      </x:c>
      <x:c r="M150" t="n">
        <x:f>IF(COUNTIFS('Conference pools'!$A$2:$A$25,D150,'Conference pools'!$D$2:$D$25,"&gt;=0")=0,"",SUMIF('Conference pools'!$A$2:$A$25,D150,'Conference pools'!$D$2:$D$25))</x:f>
        <x:v>0</x:v>
      </x:c>
      <x:c r="N150" t="n">
        <x:f>COUNTIF($D$2:$D$267,D150)</x:f>
        <x:v>12</x:v>
      </x:c>
      <x:c r="O150" t="n">
        <x:f>SUMIF($D$2:$D$267,D150,$J$2:$J$267)</x:f>
        <x:v>469.56230000000005</x:v>
      </x:c>
      <x:c r="P150" t="n">
        <x:f>IF(OR(NOT(ISNUMBER(M150)),O150=0),"",M150*('Conference pools'!$H$2/N150+'Conference pools'!$H$3*J150/O150))</x:f>
        <x:v>0</x:v>
      </x:c>
      <x:c r="Q150" t="n">
        <x:f>IF(COUNTIFS($E$2:$E$267,E150,$X$2:$X$267,"&lt;&gt;")&lt;&gt;COUNTIF($E$2:$E$267,E150),"",SUMIF($E$2:$E$267,E150,$X$2:$X$267))</x:f>
        <x:v>0</x:v>
      </x:c>
      <x:c r="R150" t="n">
        <x:f>COUNTIF($E$2:$E$267,E150)</x:f>
        <x:v>12</x:v>
      </x:c>
      <x:c r="S150" t="n">
        <x:f>SUMIF($E$2:$E$267,E150,$J$2:$J$267)</x:f>
        <x:v>528.9622</x:v>
      </x:c>
      <x:c r="T150" t="n">
        <x:f>IF(OR(NOT(ISNUMBER(Q150)),S150=0),"",Q150*('Conference pools'!$H$2/R150+'Conference pools'!$H$3*J150/S150))</x:f>
        <x:v>0</x:v>
      </x:c>
      <x:c r="U150" t="n">
        <x:f>IF(OR(NOT(ISNUMBER(P150)),NOT(ISNUMBER(T150))),"",T150-P150)</x:f>
        <x:v>0</x:v>
      </x:c>
      <x:c r="V150" s="8" t="str">
        <x:f>IF(OR(NOT(ISNUMBER(U150)),P150=0),"",U150/P150)</x:f>
      </x:c>
      <x:c r="W150" t="str">
        <x:f>IF(OR(NOT(ISNUMBER(T150)),NOT(ISNUMBER(K150))),"",T150-K150)</x:f>
      </x:c>
      <x:c r="X150" t="n">
        <x:f>IF(NOT(ISNUMBER(M150)),"",M150/N150)</x:f>
        <x:v>0</x:v>
      </x:c>
    </x:row>
    <x:row r="151">
      <x:c r="A151" t="str">
        <x:v>HARVARD</x:v>
      </x:c>
      <x:c r="B151" t="str">
        <x:v>Harvard University</x:v>
      </x:c>
      <x:c r="C151" t="str">
        <x:v>FCS</x:v>
      </x:c>
      <x:c r="D151" t="str">
        <x:v>Ivy League</x:v>
      </x:c>
      <x:c r="E151" t="str">
        <x:v>Championship Northeast</x:v>
      </x:c>
      <x:c r="F151" t="n">
        <x:v>2</x:v>
      </x:c>
      <x:c r="G151" t="n">
        <x:v>0.8077</x:v>
      </x:c>
      <x:c r="H151" t="n">
        <x:v>0.4893</x:v>
      </x:c>
      <x:c r="I151" t="n">
        <x:v>58.3428</x:v>
      </x:c>
      <x:c r="J151" t="n">
        <x:f>IF(ISNUMBER(I151),MAX(1,I151),1)</x:f>
        <x:v>58.3428</x:v>
      </x:c>
      <x:c r="K151"/>
      <x:c r="L151" t="str">
        <x:v>NOT VERIFIED</x:v>
      </x:c>
      <x:c r="M151" t="n">
        <x:f>IF(COUNTIFS('Conference pools'!$A$2:$A$25,D151,'Conference pools'!$D$2:$D$25,"&gt;=0")=0,"",SUMIF('Conference pools'!$A$2:$A$25,D151,'Conference pools'!$D$2:$D$25))</x:f>
        <x:v>0</x:v>
      </x:c>
      <x:c r="N151" t="n">
        <x:f>COUNTIF($D$2:$D$267,D151)</x:f>
        <x:v>8</x:v>
      </x:c>
      <x:c r="O151" t="n">
        <x:f>SUMIF($D$2:$D$267,D151,$J$2:$J$267)</x:f>
        <x:v>364.86990000000003</x:v>
      </x:c>
      <x:c r="P151" t="n">
        <x:f>IF(OR(NOT(ISNUMBER(M151)),O151=0),"",M151*('Conference pools'!$H$2/N151+'Conference pools'!$H$3*J151/O151))</x:f>
        <x:v>0</x:v>
      </x:c>
      <x:c r="Q151" t="n">
        <x:f>IF(COUNTIFS($E$2:$E$267,E151,$X$2:$X$267,"&lt;&gt;")&lt;&gt;COUNTIF($E$2:$E$267,E151),"",SUMIF($E$2:$E$267,E151,$X$2:$X$267))</x:f>
        <x:v>0</x:v>
      </x:c>
      <x:c r="R151" t="n">
        <x:f>COUNTIF($E$2:$E$267,E151)</x:f>
        <x:v>12</x:v>
      </x:c>
      <x:c r="S151" t="n">
        <x:f>SUMIF($E$2:$E$267,E151,$J$2:$J$267)</x:f>
        <x:v>533.6757</x:v>
      </x:c>
      <x:c r="T151" t="n">
        <x:f>IF(OR(NOT(ISNUMBER(Q151)),S151=0),"",Q151*('Conference pools'!$H$2/R151+'Conference pools'!$H$3*J151/S151))</x:f>
        <x:v>0</x:v>
      </x:c>
      <x:c r="U151" t="n">
        <x:f>IF(OR(NOT(ISNUMBER(P151)),NOT(ISNUMBER(T151))),"",T151-P151)</x:f>
        <x:v>0</x:v>
      </x:c>
      <x:c r="V151" s="8" t="str">
        <x:f>IF(OR(NOT(ISNUMBER(U151)),P151=0),"",U151/P151)</x:f>
      </x:c>
      <x:c r="W151" t="str">
        <x:f>IF(OR(NOT(ISNUMBER(T151)),NOT(ISNUMBER(K151))),"",T151-K151)</x:f>
      </x:c>
      <x:c r="X151" t="n">
        <x:f>IF(NOT(ISNUMBER(M151)),"",M151/N151)</x:f>
        <x:v>0</x:v>
      </x:c>
    </x:row>
    <x:row r="152">
      <x:c r="A152" t="str">
        <x:v>LAFAYETTE</x:v>
      </x:c>
      <x:c r="B152" t="str">
        <x:v>Lafayette College</x:v>
      </x:c>
      <x:c r="C152" t="str">
        <x:v>FCS</x:v>
      </x:c>
      <x:c r="D152" t="str">
        <x:v>Patriot League</x:v>
      </x:c>
      <x:c r="E152" t="str">
        <x:v>Championship Northeast</x:v>
      </x:c>
      <x:c r="F152" t="n">
        <x:v>10</x:v>
      </x:c>
      <x:c r="G152" t="n">
        <x:v>0.6303</x:v>
      </x:c>
      <x:c r="H152" t="n">
        <x:v>0.4084</x:v>
      </x:c>
      <x:c r="I152" t="n">
        <x:v>45.3951</x:v>
      </x:c>
      <x:c r="J152" t="n">
        <x:f>IF(ISNUMBER(I152),MAX(1,I152),1)</x:f>
        <x:v>45.3951</x:v>
      </x:c>
      <x:c r="K152"/>
      <x:c r="L152" t="str">
        <x:v>NOT VERIFIED</x:v>
      </x:c>
      <x:c r="M152" t="n">
        <x:f>IF(COUNTIFS('Conference pools'!$A$2:$A$25,D152,'Conference pools'!$D$2:$D$25,"&gt;=0")=0,"",SUMIF('Conference pools'!$A$2:$A$25,D152,'Conference pools'!$D$2:$D$25))</x:f>
        <x:v>0</x:v>
      </x:c>
      <x:c r="N152" t="n">
        <x:f>COUNTIF($D$2:$D$267,D152)</x:f>
        <x:v>10</x:v>
      </x:c>
      <x:c r="O152" t="n">
        <x:f>SUMIF($D$2:$D$267,D152,$J$2:$J$267)</x:f>
        <x:v>431.0682</x:v>
      </x:c>
      <x:c r="P152" t="n">
        <x:f>IF(OR(NOT(ISNUMBER(M152)),O152=0),"",M152*('Conference pools'!$H$2/N152+'Conference pools'!$H$3*J152/O152))</x:f>
        <x:v>0</x:v>
      </x:c>
      <x:c r="Q152" t="n">
        <x:f>IF(COUNTIFS($E$2:$E$267,E152,$X$2:$X$267,"&lt;&gt;")&lt;&gt;COUNTIF($E$2:$E$267,E152),"",SUMIF($E$2:$E$267,E152,$X$2:$X$267))</x:f>
        <x:v>0</x:v>
      </x:c>
      <x:c r="R152" t="n">
        <x:f>COUNTIF($E$2:$E$267,E152)</x:f>
        <x:v>12</x:v>
      </x:c>
      <x:c r="S152" t="n">
        <x:f>SUMIF($E$2:$E$267,E152,$J$2:$J$267)</x:f>
        <x:v>533.6757</x:v>
      </x:c>
      <x:c r="T152" t="n">
        <x:f>IF(OR(NOT(ISNUMBER(Q152)),S152=0),"",Q152*('Conference pools'!$H$2/R152+'Conference pools'!$H$3*J152/S152))</x:f>
        <x:v>0</x:v>
      </x:c>
      <x:c r="U152" t="n">
        <x:f>IF(OR(NOT(ISNUMBER(P152)),NOT(ISNUMBER(T152))),"",T152-P152)</x:f>
        <x:v>0</x:v>
      </x:c>
      <x:c r="V152" s="8" t="str">
        <x:f>IF(OR(NOT(ISNUMBER(U152)),P152=0),"",U152/P152)</x:f>
      </x:c>
      <x:c r="W152" t="str">
        <x:f>IF(OR(NOT(ISNUMBER(T152)),NOT(ISNUMBER(K152))),"",T152-K152)</x:f>
      </x:c>
      <x:c r="X152" t="n">
        <x:f>IF(NOT(ISNUMBER(M152)),"",M152/N152)</x:f>
        <x:v>0</x:v>
      </x:c>
    </x:row>
    <x:row r="153">
      <x:c r="A153" t="str">
        <x:v>DARTMOUTH</x:v>
      </x:c>
      <x:c r="B153" t="str">
        <x:v>Dartmouth College</x:v>
      </x:c>
      <x:c r="C153" t="str">
        <x:v>FCS</x:v>
      </x:c>
      <x:c r="D153" t="str">
        <x:v>Ivy League</x:v>
      </x:c>
      <x:c r="E153" t="str">
        <x:v>Championship Northeast</x:v>
      </x:c>
      <x:c r="F153" t="n">
        <x:v>4</x:v>
      </x:c>
      <x:c r="G153" t="n">
        <x:v>0.7092</x:v>
      </x:c>
      <x:c r="H153" t="n">
        <x:v>0.4863</x:v>
      </x:c>
      <x:c r="I153" t="n">
        <x:v>52.9531</x:v>
      </x:c>
      <x:c r="J153" t="n">
        <x:f>IF(ISNUMBER(I153),MAX(1,I153),1)</x:f>
        <x:v>52.9531</x:v>
      </x:c>
      <x:c r="K153"/>
      <x:c r="L153" t="str">
        <x:v>NOT VERIFIED</x:v>
      </x:c>
      <x:c r="M153" t="n">
        <x:f>IF(COUNTIFS('Conference pools'!$A$2:$A$25,D153,'Conference pools'!$D$2:$D$25,"&gt;=0")=0,"",SUMIF('Conference pools'!$A$2:$A$25,D153,'Conference pools'!$D$2:$D$25))</x:f>
        <x:v>0</x:v>
      </x:c>
      <x:c r="N153" t="n">
        <x:f>COUNTIF($D$2:$D$267,D153)</x:f>
        <x:v>8</x:v>
      </x:c>
      <x:c r="O153" t="n">
        <x:f>SUMIF($D$2:$D$267,D153,$J$2:$J$267)</x:f>
        <x:v>364.86990000000003</x:v>
      </x:c>
      <x:c r="P153" t="n">
        <x:f>IF(OR(NOT(ISNUMBER(M153)),O153=0),"",M153*('Conference pools'!$H$2/N153+'Conference pools'!$H$3*J153/O153))</x:f>
        <x:v>0</x:v>
      </x:c>
      <x:c r="Q153" t="n">
        <x:f>IF(COUNTIFS($E$2:$E$267,E153,$X$2:$X$267,"&lt;&gt;")&lt;&gt;COUNTIF($E$2:$E$267,E153),"",SUMIF($E$2:$E$267,E153,$X$2:$X$267))</x:f>
        <x:v>0</x:v>
      </x:c>
      <x:c r="R153" t="n">
        <x:f>COUNTIF($E$2:$E$267,E153)</x:f>
        <x:v>12</x:v>
      </x:c>
      <x:c r="S153" t="n">
        <x:f>SUMIF($E$2:$E$267,E153,$J$2:$J$267)</x:f>
        <x:v>533.6757</x:v>
      </x:c>
      <x:c r="T153" t="n">
        <x:f>IF(OR(NOT(ISNUMBER(Q153)),S153=0),"",Q153*('Conference pools'!$H$2/R153+'Conference pools'!$H$3*J153/S153))</x:f>
        <x:v>0</x:v>
      </x:c>
      <x:c r="U153" t="n">
        <x:f>IF(OR(NOT(ISNUMBER(P153)),NOT(ISNUMBER(T153))),"",T153-P153)</x:f>
        <x:v>0</x:v>
      </x:c>
      <x:c r="V153" s="8" t="str">
        <x:f>IF(OR(NOT(ISNUMBER(U153)),P153=0),"",U153/P153)</x:f>
      </x:c>
      <x:c r="W153" t="str">
        <x:f>IF(OR(NOT(ISNUMBER(T153)),NOT(ISNUMBER(K153))),"",T153-K153)</x:f>
      </x:c>
      <x:c r="X153" t="n">
        <x:f>IF(NOT(ISNUMBER(M153)),"",M153/N153)</x:f>
        <x:v>0</x:v>
      </x:c>
    </x:row>
    <x:row r="154">
      <x:c r="A154" t="str">
        <x:v>YALE</x:v>
      </x:c>
      <x:c r="B154" t="str">
        <x:v>Yale University</x:v>
      </x:c>
      <x:c r="C154" t="str">
        <x:v>FCS</x:v>
      </x:c>
      <x:c r="D154" t="str">
        <x:v>Ivy League</x:v>
      </x:c>
      <x:c r="E154" t="str">
        <x:v>Championship Northeast</x:v>
      </x:c>
      <x:c r="F154" t="n">
        <x:v>3</x:v>
      </x:c>
      <x:c r="G154" t="n">
        <x:v>0.7223</x:v>
      </x:c>
      <x:c r="H154" t="n">
        <x:v>0.5287</x:v>
      </x:c>
      <x:c r="I154" t="n">
        <x:v>55.3267</x:v>
      </x:c>
      <x:c r="J154" t="n">
        <x:f>IF(ISNUMBER(I154),MAX(1,I154),1)</x:f>
        <x:v>55.3267</x:v>
      </x:c>
      <x:c r="K154"/>
      <x:c r="L154" t="str">
        <x:v>NOT VERIFIED</x:v>
      </x:c>
      <x:c r="M154" t="n">
        <x:f>IF(COUNTIFS('Conference pools'!$A$2:$A$25,D154,'Conference pools'!$D$2:$D$25,"&gt;=0")=0,"",SUMIF('Conference pools'!$A$2:$A$25,D154,'Conference pools'!$D$2:$D$25))</x:f>
        <x:v>0</x:v>
      </x:c>
      <x:c r="N154" t="n">
        <x:f>COUNTIF($D$2:$D$267,D154)</x:f>
        <x:v>8</x:v>
      </x:c>
      <x:c r="O154" t="n">
        <x:f>SUMIF($D$2:$D$267,D154,$J$2:$J$267)</x:f>
        <x:v>364.86990000000003</x:v>
      </x:c>
      <x:c r="P154" t="n">
        <x:f>IF(OR(NOT(ISNUMBER(M154)),O154=0),"",M154*('Conference pools'!$H$2/N154+'Conference pools'!$H$3*J154/O154))</x:f>
        <x:v>0</x:v>
      </x:c>
      <x:c r="Q154" t="n">
        <x:f>IF(COUNTIFS($E$2:$E$267,E154,$X$2:$X$267,"&lt;&gt;")&lt;&gt;COUNTIF($E$2:$E$267,E154),"",SUMIF($E$2:$E$267,E154,$X$2:$X$267))</x:f>
        <x:v>0</x:v>
      </x:c>
      <x:c r="R154" t="n">
        <x:f>COUNTIF($E$2:$E$267,E154)</x:f>
        <x:v>12</x:v>
      </x:c>
      <x:c r="S154" t="n">
        <x:f>SUMIF($E$2:$E$267,E154,$J$2:$J$267)</x:f>
        <x:v>533.6757</x:v>
      </x:c>
      <x:c r="T154" t="n">
        <x:f>IF(OR(NOT(ISNUMBER(Q154)),S154=0),"",Q154*('Conference pools'!$H$2/R154+'Conference pools'!$H$3*J154/S154))</x:f>
        <x:v>0</x:v>
      </x:c>
      <x:c r="U154" t="n">
        <x:f>IF(OR(NOT(ISNUMBER(P154)),NOT(ISNUMBER(T154))),"",T154-P154)</x:f>
        <x:v>0</x:v>
      </x:c>
      <x:c r="V154" s="8" t="str">
        <x:f>IF(OR(NOT(ISNUMBER(U154)),P154=0),"",U154/P154)</x:f>
      </x:c>
      <x:c r="W154" t="str">
        <x:f>IF(OR(NOT(ISNUMBER(T154)),NOT(ISNUMBER(K154))),"",T154-K154)</x:f>
      </x:c>
      <x:c r="X154" t="n">
        <x:f>IF(NOT(ISNUMBER(M154)),"",M154/N154)</x:f>
        <x:v>0</x:v>
      </x:c>
    </x:row>
    <x:row r="155">
      <x:c r="A155" t="str">
        <x:v>HOLY_CROSS</x:v>
      </x:c>
      <x:c r="B155" t="str">
        <x:v>College of the Holy Cross</x:v>
      </x:c>
      <x:c r="C155" t="str">
        <x:v>FCS</x:v>
      </x:c>
      <x:c r="D155" t="str">
        <x:v>Patriot League</x:v>
      </x:c>
      <x:c r="E155" t="str">
        <x:v>Championship Northeast</x:v>
      </x:c>
      <x:c r="F155" t="n">
        <x:v>10</x:v>
      </x:c>
      <x:c r="G155" t="n">
        <x:v>0.4295</x:v>
      </x:c>
      <x:c r="H155" t="n">
        <x:v>0.5442</x:v>
      </x:c>
      <x:c r="I155" t="n">
        <x:v>44.8851</x:v>
      </x:c>
      <x:c r="J155" t="n">
        <x:f>IF(ISNUMBER(I155),MAX(1,I155),1)</x:f>
        <x:v>44.8851</x:v>
      </x:c>
      <x:c r="K155"/>
      <x:c r="L155" t="str">
        <x:v>NOT VERIFIED</x:v>
      </x:c>
      <x:c r="M155" t="n">
        <x:f>IF(COUNTIFS('Conference pools'!$A$2:$A$25,D155,'Conference pools'!$D$2:$D$25,"&gt;=0")=0,"",SUMIF('Conference pools'!$A$2:$A$25,D155,'Conference pools'!$D$2:$D$25))</x:f>
        <x:v>0</x:v>
      </x:c>
      <x:c r="N155" t="n">
        <x:f>COUNTIF($D$2:$D$267,D155)</x:f>
        <x:v>10</x:v>
      </x:c>
      <x:c r="O155" t="n">
        <x:f>SUMIF($D$2:$D$267,D155,$J$2:$J$267)</x:f>
        <x:v>431.0682</x:v>
      </x:c>
      <x:c r="P155" t="n">
        <x:f>IF(OR(NOT(ISNUMBER(M155)),O155=0),"",M155*('Conference pools'!$H$2/N155+'Conference pools'!$H$3*J155/O155))</x:f>
        <x:v>0</x:v>
      </x:c>
      <x:c r="Q155" t="n">
        <x:f>IF(COUNTIFS($E$2:$E$267,E155,$X$2:$X$267,"&lt;&gt;")&lt;&gt;COUNTIF($E$2:$E$267,E155),"",SUMIF($E$2:$E$267,E155,$X$2:$X$267))</x:f>
        <x:v>0</x:v>
      </x:c>
      <x:c r="R155" t="n">
        <x:f>COUNTIF($E$2:$E$267,E155)</x:f>
        <x:v>12</x:v>
      </x:c>
      <x:c r="S155" t="n">
        <x:f>SUMIF($E$2:$E$267,E155,$J$2:$J$267)</x:f>
        <x:v>533.6757</x:v>
      </x:c>
      <x:c r="T155" t="n">
        <x:f>IF(OR(NOT(ISNUMBER(Q155)),S155=0),"",Q155*('Conference pools'!$H$2/R155+'Conference pools'!$H$3*J155/S155))</x:f>
        <x:v>0</x:v>
      </x:c>
      <x:c r="U155" t="n">
        <x:f>IF(OR(NOT(ISNUMBER(P155)),NOT(ISNUMBER(T155))),"",T155-P155)</x:f>
        <x:v>0</x:v>
      </x:c>
      <x:c r="V155" s="8" t="str">
        <x:f>IF(OR(NOT(ISNUMBER(U155)),P155=0),"",U155/P155)</x:f>
      </x:c>
      <x:c r="W155" t="str">
        <x:f>IF(OR(NOT(ISNUMBER(T155)),NOT(ISNUMBER(K155))),"",T155-K155)</x:f>
      </x:c>
      <x:c r="X155" t="n">
        <x:f>IF(NOT(ISNUMBER(M155)),"",M155/N155)</x:f>
        <x:v>0</x:v>
      </x:c>
    </x:row>
    <x:row r="156">
      <x:c r="A156" t="str">
        <x:v>NEW_HAMPSHIRE</x:v>
      </x:c>
      <x:c r="B156" t="str">
        <x:v>University of New Hampshire</x:v>
      </x:c>
      <x:c r="C156" t="str">
        <x:v>FCS</x:v>
      </x:c>
      <x:c r="D156" t="str">
        <x:v>Coastal Athletic Association</x:v>
      </x:c>
      <x:c r="E156" t="str">
        <x:v>Championship Northeast</x:v>
      </x:c>
      <x:c r="F156" t="n">
        <x:v>7</x:v>
      </x:c>
      <x:c r="G156" t="n">
        <x:v>0.5998</x:v>
      </x:c>
      <x:c r="H156" t="n">
        <x:v>0.4968</x:v>
      </x:c>
      <x:c r="I156" t="n">
        <x:v>48.6895</x:v>
      </x:c>
      <x:c r="J156" t="n">
        <x:f>IF(ISNUMBER(I156),MAX(1,I156),1)</x:f>
        <x:v>48.6895</x:v>
      </x:c>
      <x:c r="K156"/>
      <x:c r="L156" t="str">
        <x:v>NOT VERIFIED</x:v>
      </x:c>
      <x:c r="M156" t="n">
        <x:f>IF(COUNTIFS('Conference pools'!$A$2:$A$25,D156,'Conference pools'!$D$2:$D$25,"&gt;=0")=0,"",SUMIF('Conference pools'!$A$2:$A$25,D156,'Conference pools'!$D$2:$D$25))</x:f>
        <x:v>0</x:v>
      </x:c>
      <x:c r="N156" t="n">
        <x:f>COUNTIF($D$2:$D$267,D156)</x:f>
        <x:v>13</x:v>
      </x:c>
      <x:c r="O156" t="n">
        <x:f>SUMIF($D$2:$D$267,D156,$J$2:$J$267)</x:f>
        <x:v>512.5445000000001</x:v>
      </x:c>
      <x:c r="P156" t="n">
        <x:f>IF(OR(NOT(ISNUMBER(M156)),O156=0),"",M156*('Conference pools'!$H$2/N156+'Conference pools'!$H$3*J156/O156))</x:f>
        <x:v>0</x:v>
      </x:c>
      <x:c r="Q156" t="n">
        <x:f>IF(COUNTIFS($E$2:$E$267,E156,$X$2:$X$267,"&lt;&gt;")&lt;&gt;COUNTIF($E$2:$E$267,E156),"",SUMIF($E$2:$E$267,E156,$X$2:$X$267))</x:f>
        <x:v>0</x:v>
      </x:c>
      <x:c r="R156" t="n">
        <x:f>COUNTIF($E$2:$E$267,E156)</x:f>
        <x:v>12</x:v>
      </x:c>
      <x:c r="S156" t="n">
        <x:f>SUMIF($E$2:$E$267,E156,$J$2:$J$267)</x:f>
        <x:v>533.6757</x:v>
      </x:c>
      <x:c r="T156" t="n">
        <x:f>IF(OR(NOT(ISNUMBER(Q156)),S156=0),"",Q156*('Conference pools'!$H$2/R156+'Conference pools'!$H$3*J156/S156))</x:f>
        <x:v>0</x:v>
      </x:c>
      <x:c r="U156" t="n">
        <x:f>IF(OR(NOT(ISNUMBER(P156)),NOT(ISNUMBER(T156))),"",T156-P156)</x:f>
        <x:v>0</x:v>
      </x:c>
      <x:c r="V156" s="8" t="str">
        <x:f>IF(OR(NOT(ISNUMBER(U156)),P156=0),"",U156/P156)</x:f>
      </x:c>
      <x:c r="W156" t="str">
        <x:f>IF(OR(NOT(ISNUMBER(T156)),NOT(ISNUMBER(K156))),"",T156-K156)</x:f>
      </x:c>
      <x:c r="X156" t="n">
        <x:f>IF(NOT(ISNUMBER(M156)),"",M156/N156)</x:f>
        <x:v>0</x:v>
      </x:c>
    </x:row>
    <x:row r="157">
      <x:c r="A157" t="str">
        <x:v>RHODE_ISLAND</x:v>
      </x:c>
      <x:c r="B157" t="str">
        <x:v>University of Rhode Island</x:v>
      </x:c>
      <x:c r="C157" t="str">
        <x:v>FCS</x:v>
      </x:c>
      <x:c r="D157" t="str">
        <x:v>Coastal Athletic Association</x:v>
      </x:c>
      <x:c r="E157" t="str">
        <x:v>Championship Northeast</x:v>
      </x:c>
      <x:c r="F157" t="n">
        <x:v>5</x:v>
      </x:c>
      <x:c r="G157" t="n">
        <x:v>0.7352</x:v>
      </x:c>
      <x:c r="H157" t="n">
        <x:v>0.4545</x:v>
      </x:c>
      <x:c r="I157" t="n">
        <x:v>51.0952</x:v>
      </x:c>
      <x:c r="J157" t="n">
        <x:f>IF(ISNUMBER(I157),MAX(1,I157),1)</x:f>
        <x:v>51.0952</x:v>
      </x:c>
      <x:c r="K157"/>
      <x:c r="L157" t="str">
        <x:v>NOT VERIFIED</x:v>
      </x:c>
      <x:c r="M157" t="n">
        <x:f>IF(COUNTIFS('Conference pools'!$A$2:$A$25,D157,'Conference pools'!$D$2:$D$25,"&gt;=0")=0,"",SUMIF('Conference pools'!$A$2:$A$25,D157,'Conference pools'!$D$2:$D$25))</x:f>
        <x:v>0</x:v>
      </x:c>
      <x:c r="N157" t="n">
        <x:f>COUNTIF($D$2:$D$267,D157)</x:f>
        <x:v>13</x:v>
      </x:c>
      <x:c r="O157" t="n">
        <x:f>SUMIF($D$2:$D$267,D157,$J$2:$J$267)</x:f>
        <x:v>512.5445000000001</x:v>
      </x:c>
      <x:c r="P157" t="n">
        <x:f>IF(OR(NOT(ISNUMBER(M157)),O157=0),"",M157*('Conference pools'!$H$2/N157+'Conference pools'!$H$3*J157/O157))</x:f>
        <x:v>0</x:v>
      </x:c>
      <x:c r="Q157" t="n">
        <x:f>IF(COUNTIFS($E$2:$E$267,E157,$X$2:$X$267,"&lt;&gt;")&lt;&gt;COUNTIF($E$2:$E$267,E157),"",SUMIF($E$2:$E$267,E157,$X$2:$X$267))</x:f>
        <x:v>0</x:v>
      </x:c>
      <x:c r="R157" t="n">
        <x:f>COUNTIF($E$2:$E$267,E157)</x:f>
        <x:v>12</x:v>
      </x:c>
      <x:c r="S157" t="n">
        <x:f>SUMIF($E$2:$E$267,E157,$J$2:$J$267)</x:f>
        <x:v>533.6757</x:v>
      </x:c>
      <x:c r="T157" t="n">
        <x:f>IF(OR(NOT(ISNUMBER(Q157)),S157=0),"",Q157*('Conference pools'!$H$2/R157+'Conference pools'!$H$3*J157/S157))</x:f>
        <x:v>0</x:v>
      </x:c>
      <x:c r="U157" t="n">
        <x:f>IF(OR(NOT(ISNUMBER(P157)),NOT(ISNUMBER(T157))),"",T157-P157)</x:f>
        <x:v>0</x:v>
      </x:c>
      <x:c r="V157" s="8" t="str">
        <x:f>IF(OR(NOT(ISNUMBER(U157)),P157=0),"",U157/P157)</x:f>
      </x:c>
      <x:c r="W157" t="str">
        <x:f>IF(OR(NOT(ISNUMBER(T157)),NOT(ISNUMBER(K157))),"",T157-K157)</x:f>
      </x:c>
      <x:c r="X157" t="n">
        <x:f>IF(NOT(ISNUMBER(M157)),"",M157/N157)</x:f>
        <x:v>0</x:v>
      </x:c>
    </x:row>
    <x:row r="158">
      <x:c r="A158" t="str">
        <x:v>COLUMBIA</x:v>
      </x:c>
      <x:c r="B158" t="str">
        <x:v>Columbia University</x:v>
      </x:c>
      <x:c r="C158" t="str">
        <x:v>FCS</x:v>
      </x:c>
      <x:c r="D158" t="str">
        <x:v>Ivy League</x:v>
      </x:c>
      <x:c r="E158" t="str">
        <x:v>Championship Northeast</x:v>
      </x:c>
      <x:c r="F158" t="n">
        <x:v>18</x:v>
      </x:c>
      <x:c r="G158" t="n">
        <x:v>0.3977</x:v>
      </x:c>
      <x:c r="H158" t="n">
        <x:v>0.5605</x:v>
      </x:c>
      <x:c r="I158" t="n">
        <x:v>39.0122</x:v>
      </x:c>
      <x:c r="J158" t="n">
        <x:f>IF(ISNUMBER(I158),MAX(1,I158),1)</x:f>
        <x:v>39.0122</x:v>
      </x:c>
      <x:c r="K158"/>
      <x:c r="L158" t="str">
        <x:v>NOT VERIFIED</x:v>
      </x:c>
      <x:c r="M158" t="n">
        <x:f>IF(COUNTIFS('Conference pools'!$A$2:$A$25,D158,'Conference pools'!$D$2:$D$25,"&gt;=0")=0,"",SUMIF('Conference pools'!$A$2:$A$25,D158,'Conference pools'!$D$2:$D$25))</x:f>
        <x:v>0</x:v>
      </x:c>
      <x:c r="N158" t="n">
        <x:f>COUNTIF($D$2:$D$267,D158)</x:f>
        <x:v>8</x:v>
      </x:c>
      <x:c r="O158" t="n">
        <x:f>SUMIF($D$2:$D$267,D158,$J$2:$J$267)</x:f>
        <x:v>364.86990000000003</x:v>
      </x:c>
      <x:c r="P158" t="n">
        <x:f>IF(OR(NOT(ISNUMBER(M158)),O158=0),"",M158*('Conference pools'!$H$2/N158+'Conference pools'!$H$3*J158/O158))</x:f>
        <x:v>0</x:v>
      </x:c>
      <x:c r="Q158" t="n">
        <x:f>IF(COUNTIFS($E$2:$E$267,E158,$X$2:$X$267,"&lt;&gt;")&lt;&gt;COUNTIF($E$2:$E$267,E158),"",SUMIF($E$2:$E$267,E158,$X$2:$X$267))</x:f>
        <x:v>0</x:v>
      </x:c>
      <x:c r="R158" t="n">
        <x:f>COUNTIF($E$2:$E$267,E158)</x:f>
        <x:v>12</x:v>
      </x:c>
      <x:c r="S158" t="n">
        <x:f>SUMIF($E$2:$E$267,E158,$J$2:$J$267)</x:f>
        <x:v>533.6757</x:v>
      </x:c>
      <x:c r="T158" t="n">
        <x:f>IF(OR(NOT(ISNUMBER(Q158)),S158=0),"",Q158*('Conference pools'!$H$2/R158+'Conference pools'!$H$3*J158/S158))</x:f>
        <x:v>0</x:v>
      </x:c>
      <x:c r="U158" t="n">
        <x:f>IF(OR(NOT(ISNUMBER(P158)),NOT(ISNUMBER(T158))),"",T158-P158)</x:f>
        <x:v>0</x:v>
      </x:c>
      <x:c r="V158" s="8" t="str">
        <x:f>IF(OR(NOT(ISNUMBER(U158)),P158=0),"",U158/P158)</x:f>
      </x:c>
      <x:c r="W158" t="str">
        <x:f>IF(OR(NOT(ISNUMBER(T158)),NOT(ISNUMBER(K158))),"",T158-K158)</x:f>
      </x:c>
      <x:c r="X158" t="n">
        <x:f>IF(NOT(ISNUMBER(M158)),"",M158/N158)</x:f>
        <x:v>0</x:v>
      </x:c>
    </x:row>
    <x:row r="159">
      <x:c r="A159" t="str">
        <x:v>ALBANY</x:v>
      </x:c>
      <x:c r="B159" t="str">
        <x:v>University at Albany SUNY</x:v>
      </x:c>
      <x:c r="C159" t="str">
        <x:v>FCS</x:v>
      </x:c>
      <x:c r="D159" t="str">
        <x:v>Coastal Athletic Association</x:v>
      </x:c>
      <x:c r="E159" t="str">
        <x:v>Championship Northeast</x:v>
      </x:c>
      <x:c r="F159" t="n">
        <x:v>18</x:v>
      </x:c>
      <x:c r="G159" t="n">
        <x:v>0.3892</x:v>
      </x:c>
      <x:c r="H159" t="n">
        <x:v>0.5425</x:v>
      </x:c>
      <x:c r="I159" t="n">
        <x:v>38.8656</x:v>
      </x:c>
      <x:c r="J159" t="n">
        <x:f>IF(ISNUMBER(I159),MAX(1,I159),1)</x:f>
        <x:v>38.8656</x:v>
      </x:c>
      <x:c r="K159"/>
      <x:c r="L159" t="str">
        <x:v>NOT VERIFIED</x:v>
      </x:c>
      <x:c r="M159" t="n">
        <x:f>IF(COUNTIFS('Conference pools'!$A$2:$A$25,D159,'Conference pools'!$D$2:$D$25,"&gt;=0")=0,"",SUMIF('Conference pools'!$A$2:$A$25,D159,'Conference pools'!$D$2:$D$25))</x:f>
        <x:v>0</x:v>
      </x:c>
      <x:c r="N159" t="n">
        <x:f>COUNTIF($D$2:$D$267,D159)</x:f>
        <x:v>13</x:v>
      </x:c>
      <x:c r="O159" t="n">
        <x:f>SUMIF($D$2:$D$267,D159,$J$2:$J$267)</x:f>
        <x:v>512.5445000000001</x:v>
      </x:c>
      <x:c r="P159" t="n">
        <x:f>IF(OR(NOT(ISNUMBER(M159)),O159=0),"",M159*('Conference pools'!$H$2/N159+'Conference pools'!$H$3*J159/O159))</x:f>
        <x:v>0</x:v>
      </x:c>
      <x:c r="Q159" t="n">
        <x:f>IF(COUNTIFS($E$2:$E$267,E159,$X$2:$X$267,"&lt;&gt;")&lt;&gt;COUNTIF($E$2:$E$267,E159),"",SUMIF($E$2:$E$267,E159,$X$2:$X$267))</x:f>
        <x:v>0</x:v>
      </x:c>
      <x:c r="R159" t="n">
        <x:f>COUNTIF($E$2:$E$267,E159)</x:f>
        <x:v>12</x:v>
      </x:c>
      <x:c r="S159" t="n">
        <x:f>SUMIF($E$2:$E$267,E159,$J$2:$J$267)</x:f>
        <x:v>533.6757</x:v>
      </x:c>
      <x:c r="T159" t="n">
        <x:f>IF(OR(NOT(ISNUMBER(Q159)),S159=0),"",Q159*('Conference pools'!$H$2/R159+'Conference pools'!$H$3*J159/S159))</x:f>
        <x:v>0</x:v>
      </x:c>
      <x:c r="U159" t="n">
        <x:f>IF(OR(NOT(ISNUMBER(P159)),NOT(ISNUMBER(T159))),"",T159-P159)</x:f>
        <x:v>0</x:v>
      </x:c>
      <x:c r="V159" s="8" t="str">
        <x:f>IF(OR(NOT(ISNUMBER(U159)),P159=0),"",U159/P159)</x:f>
      </x:c>
      <x:c r="W159" t="str">
        <x:f>IF(OR(NOT(ISNUMBER(T159)),NOT(ISNUMBER(K159))),"",T159-K159)</x:f>
      </x:c>
      <x:c r="X159" t="n">
        <x:f>IF(NOT(ISNUMBER(M159)),"",M159/N159)</x:f>
        <x:v>0</x:v>
      </x:c>
    </x:row>
    <x:row r="160">
      <x:c r="A160" t="str">
        <x:v>PRINCETON</x:v>
      </x:c>
      <x:c r="B160" t="str">
        <x:v>Princeton University</x:v>
      </x:c>
      <x:c r="C160" t="str">
        <x:v>FCS</x:v>
      </x:c>
      <x:c r="D160" t="str">
        <x:v>Ivy League</x:v>
      </x:c>
      <x:c r="E160" t="str">
        <x:v>Championship Northeast</x:v>
      </x:c>
      <x:c r="F160" t="n">
        <x:v>15</x:v>
      </x:c>
      <x:c r="G160" t="n">
        <x:v>0.3506</x:v>
      </x:c>
      <x:c r="H160" t="n">
        <x:v>0.5853</x:v>
      </x:c>
      <x:c r="I160" t="n">
        <x:v>40.8944</x:v>
      </x:c>
      <x:c r="J160" t="n">
        <x:f>IF(ISNUMBER(I160),MAX(1,I160),1)</x:f>
        <x:v>40.8944</x:v>
      </x:c>
      <x:c r="K160"/>
      <x:c r="L160" t="str">
        <x:v>NOT VERIFIED</x:v>
      </x:c>
      <x:c r="M160" t="n">
        <x:f>IF(COUNTIFS('Conference pools'!$A$2:$A$25,D160,'Conference pools'!$D$2:$D$25,"&gt;=0")=0,"",SUMIF('Conference pools'!$A$2:$A$25,D160,'Conference pools'!$D$2:$D$25))</x:f>
        <x:v>0</x:v>
      </x:c>
      <x:c r="N160" t="n">
        <x:f>COUNTIF($D$2:$D$267,D160)</x:f>
        <x:v>8</x:v>
      </x:c>
      <x:c r="O160" t="n">
        <x:f>SUMIF($D$2:$D$267,D160,$J$2:$J$267)</x:f>
        <x:v>364.86990000000003</x:v>
      </x:c>
      <x:c r="P160" t="n">
        <x:f>IF(OR(NOT(ISNUMBER(M160)),O160=0),"",M160*('Conference pools'!$H$2/N160+'Conference pools'!$H$3*J160/O160))</x:f>
        <x:v>0</x:v>
      </x:c>
      <x:c r="Q160" t="n">
        <x:f>IF(COUNTIFS($E$2:$E$267,E160,$X$2:$X$267,"&lt;&gt;")&lt;&gt;COUNTIF($E$2:$E$267,E160),"",SUMIF($E$2:$E$267,E160,$X$2:$X$267))</x:f>
        <x:v>0</x:v>
      </x:c>
      <x:c r="R160" t="n">
        <x:f>COUNTIF($E$2:$E$267,E160)</x:f>
        <x:v>12</x:v>
      </x:c>
      <x:c r="S160" t="n">
        <x:f>SUMIF($E$2:$E$267,E160,$J$2:$J$267)</x:f>
        <x:v>533.6757</x:v>
      </x:c>
      <x:c r="T160" t="n">
        <x:f>IF(OR(NOT(ISNUMBER(Q160)),S160=0),"",Q160*('Conference pools'!$H$2/R160+'Conference pools'!$H$3*J160/S160))</x:f>
        <x:v>0</x:v>
      </x:c>
      <x:c r="U160" t="n">
        <x:f>IF(OR(NOT(ISNUMBER(P160)),NOT(ISNUMBER(T160))),"",T160-P160)</x:f>
        <x:v>0</x:v>
      </x:c>
      <x:c r="V160" s="8" t="str">
        <x:f>IF(OR(NOT(ISNUMBER(U160)),P160=0),"",U160/P160)</x:f>
      </x:c>
      <x:c r="W160" t="str">
        <x:f>IF(OR(NOT(ISNUMBER(T160)),NOT(ISNUMBER(K160))),"",T160-K160)</x:f>
      </x:c>
      <x:c r="X160" t="n">
        <x:f>IF(NOT(ISNUMBER(M160)),"",M160/N160)</x:f>
        <x:v>0</x:v>
      </x:c>
    </x:row>
    <x:row r="161">
      <x:c r="A161" t="str">
        <x:v>STONEHILL</x:v>
      </x:c>
      <x:c r="B161" t="str">
        <x:v>Stonehill College</x:v>
      </x:c>
      <x:c r="C161" t="str">
        <x:v>FCS</x:v>
      </x:c>
      <x:c r="D161" t="str">
        <x:v>Northeast Conference</x:v>
      </x:c>
      <x:c r="E161" t="str">
        <x:v>Championship Northeast</x:v>
      </x:c>
      <x:c r="F161" t="n">
        <x:v>34</x:v>
      </x:c>
      <x:c r="G161"/>
      <x:c r="H161"/>
      <x:c r="I161" t="n">
        <x:v>25.12</x:v>
      </x:c>
      <x:c r="J161" t="n">
        <x:f>IF(ISNUMBER(I161),MAX(1,I161),1)</x:f>
        <x:v>25.12</x:v>
      </x:c>
      <x:c r="K161"/>
      <x:c r="L161" t="str">
        <x:v>NOT VERIFIED</x:v>
      </x:c>
      <x:c r="M161" t="n">
        <x:f>IF(COUNTIFS('Conference pools'!$A$2:$A$25,D161,'Conference pools'!$D$2:$D$25,"&gt;=0")=0,"",SUMIF('Conference pools'!$A$2:$A$25,D161,'Conference pools'!$D$2:$D$25))</x:f>
        <x:v>0</x:v>
      </x:c>
      <x:c r="N161" t="n">
        <x:f>COUNTIF($D$2:$D$267,D161)</x:f>
        <x:v>8</x:v>
      </x:c>
      <x:c r="O161" t="n">
        <x:f>SUMIF($D$2:$D$267,D161,$J$2:$J$267)</x:f>
        <x:v>291.4439</x:v>
      </x:c>
      <x:c r="P161" t="n">
        <x:f>IF(OR(NOT(ISNUMBER(M161)),O161=0),"",M161*('Conference pools'!$H$2/N161+'Conference pools'!$H$3*J161/O161))</x:f>
        <x:v>0</x:v>
      </x:c>
      <x:c r="Q161" t="n">
        <x:f>IF(COUNTIFS($E$2:$E$267,E161,$X$2:$X$267,"&lt;&gt;")&lt;&gt;COUNTIF($E$2:$E$267,E161),"",SUMIF($E$2:$E$267,E161,$X$2:$X$267))</x:f>
        <x:v>0</x:v>
      </x:c>
      <x:c r="R161" t="n">
        <x:f>COUNTIF($E$2:$E$267,E161)</x:f>
        <x:v>12</x:v>
      </x:c>
      <x:c r="S161" t="n">
        <x:f>SUMIF($E$2:$E$267,E161,$J$2:$J$267)</x:f>
        <x:v>533.6757</x:v>
      </x:c>
      <x:c r="T161" t="n">
        <x:f>IF(OR(NOT(ISNUMBER(Q161)),S161=0),"",Q161*('Conference pools'!$H$2/R161+'Conference pools'!$H$3*J161/S161))</x:f>
        <x:v>0</x:v>
      </x:c>
      <x:c r="U161" t="n">
        <x:f>IF(OR(NOT(ISNUMBER(P161)),NOT(ISNUMBER(T161))),"",T161-P161)</x:f>
        <x:v>0</x:v>
      </x:c>
      <x:c r="V161" s="8" t="str">
        <x:f>IF(OR(NOT(ISNUMBER(U161)),P161=0),"",U161/P161)</x:f>
      </x:c>
      <x:c r="W161" t="str">
        <x:f>IF(OR(NOT(ISNUMBER(T161)),NOT(ISNUMBER(K161))),"",T161-K161)</x:f>
      </x:c>
      <x:c r="X161" t="n">
        <x:f>IF(NOT(ISNUMBER(M161)),"",M161/N161)</x:f>
        <x:v>0</x:v>
      </x:c>
    </x:row>
    <x:row r="162">
      <x:c r="A162" t="str">
        <x:v>MERRIMACK</x:v>
      </x:c>
      <x:c r="B162" t="str">
        <x:v>Merrimack College</x:v>
      </x:c>
      <x:c r="C162" t="str">
        <x:v>FCS</x:v>
      </x:c>
      <x:c r="D162" t="str">
        <x:v>Independent</x:v>
      </x:c>
      <x:c r="E162" t="str">
        <x:v>Championship Northeast</x:v>
      </x:c>
      <x:c r="F162" t="n">
        <x:v>26</x:v>
      </x:c>
      <x:c r="G162"/>
      <x:c r="H162"/>
      <x:c r="I162" t="n">
        <x:v>33.096</x:v>
      </x:c>
      <x:c r="J162" t="n">
        <x:f>IF(ISNUMBER(I162),MAX(1,I162),1)</x:f>
        <x:v>33.096</x:v>
      </x:c>
      <x:c r="K162"/>
      <x:c r="L162" t="str">
        <x:v>NOT VERIFIED</x:v>
      </x:c>
      <x:c r="M162" t="n">
        <x:f>IF(COUNTIFS('Conference pools'!$A$2:$A$25,D162,'Conference pools'!$D$2:$D$25,"&gt;=0")=0,"",SUMIF('Conference pools'!$A$2:$A$25,D162,'Conference pools'!$D$2:$D$25))</x:f>
        <x:v>0</x:v>
      </x:c>
      <x:c r="N162" t="n">
        <x:f>COUNTIF($D$2:$D$267,D162)</x:f>
        <x:v>4</x:v>
      </x:c>
      <x:c r="O162" t="n">
        <x:f>SUMIF($D$2:$D$267,D162,$J$2:$J$267)</x:f>
        <x:v>208.1923</x:v>
      </x:c>
      <x:c r="P162" t="n">
        <x:f>IF(OR(NOT(ISNUMBER(M162)),O162=0),"",M162*('Conference pools'!$H$2/N162+'Conference pools'!$H$3*J162/O162))</x:f>
        <x:v>0</x:v>
      </x:c>
      <x:c r="Q162" t="n">
        <x:f>IF(COUNTIFS($E$2:$E$267,E162,$X$2:$X$267,"&lt;&gt;")&lt;&gt;COUNTIF($E$2:$E$267,E162),"",SUMIF($E$2:$E$267,E162,$X$2:$X$267))</x:f>
        <x:v>0</x:v>
      </x:c>
      <x:c r="R162" t="n">
        <x:f>COUNTIF($E$2:$E$267,E162)</x:f>
        <x:v>12</x:v>
      </x:c>
      <x:c r="S162" t="n">
        <x:f>SUMIF($E$2:$E$267,E162,$J$2:$J$267)</x:f>
        <x:v>533.6757</x:v>
      </x:c>
      <x:c r="T162" t="n">
        <x:f>IF(OR(NOT(ISNUMBER(Q162)),S162=0),"",Q162*('Conference pools'!$H$2/R162+'Conference pools'!$H$3*J162/S162))</x:f>
        <x:v>0</x:v>
      </x:c>
      <x:c r="U162" t="n">
        <x:f>IF(OR(NOT(ISNUMBER(P162)),NOT(ISNUMBER(T162))),"",T162-P162)</x:f>
        <x:v>0</x:v>
      </x:c>
      <x:c r="V162" s="8" t="str">
        <x:f>IF(OR(NOT(ISNUMBER(U162)),P162=0),"",U162/P162)</x:f>
      </x:c>
      <x:c r="W162" t="str">
        <x:f>IF(OR(NOT(ISNUMBER(T162)),NOT(ISNUMBER(K162))),"",T162-K162)</x:f>
      </x:c>
      <x:c r="X162" t="n">
        <x:f>IF(NOT(ISNUMBER(M162)),"",M162/N162)</x:f>
        <x:v>0</x:v>
      </x:c>
    </x:row>
    <x:row r="163">
      <x:c r="A163" t="str">
        <x:v>INCARNATE_WORD</x:v>
      </x:c>
      <x:c r="B163" t="str">
        <x:v>University of the Incarnate Word</x:v>
      </x:c>
      <x:c r="C163" t="str">
        <x:v>FCS</x:v>
      </x:c>
      <x:c r="D163" t="str">
        <x:v>Southland Conference</x:v>
      </x:c>
      <x:c r="E163" t="str">
        <x:v>Championship Plains</x:v>
      </x:c>
      <x:c r="F163" t="n">
        <x:v>6</x:v>
      </x:c>
      <x:c r="G163" t="n">
        <x:v>0.6497</x:v>
      </x:c>
      <x:c r="H163" t="n">
        <x:v>0.4526</x:v>
      </x:c>
      <x:c r="I163" t="n">
        <x:v>49.8055</x:v>
      </x:c>
      <x:c r="J163" t="n">
        <x:f>IF(ISNUMBER(I163),MAX(1,I163),1)</x:f>
        <x:v>49.8055</x:v>
      </x:c>
      <x:c r="K163"/>
      <x:c r="L163" t="str">
        <x:v>NOT VERIFIED</x:v>
      </x:c>
      <x:c r="M163" t="n">
        <x:f>IF(COUNTIFS('Conference pools'!$A$2:$A$25,D163,'Conference pools'!$D$2:$D$25,"&gt;=0")=0,"",SUMIF('Conference pools'!$A$2:$A$25,D163,'Conference pools'!$D$2:$D$25))</x:f>
        <x:v>0</x:v>
      </x:c>
      <x:c r="N163" t="n">
        <x:f>COUNTIF($D$2:$D$267,D163)</x:f>
        <x:v>10</x:v>
      </x:c>
      <x:c r="O163" t="n">
        <x:f>SUMIF($D$2:$D$267,D163,$J$2:$J$267)</x:f>
        <x:v>391.2068</x:v>
      </x:c>
      <x:c r="P163" t="n">
        <x:f>IF(OR(NOT(ISNUMBER(M163)),O163=0),"",M163*('Conference pools'!$H$2/N163+'Conference pools'!$H$3*J163/O163))</x:f>
        <x:v>0</x:v>
      </x:c>
      <x:c r="Q163" t="n">
        <x:f>IF(COUNTIFS($E$2:$E$267,E163,$X$2:$X$267,"&lt;&gt;")&lt;&gt;COUNTIF($E$2:$E$267,E163),"",SUMIF($E$2:$E$267,E163,$X$2:$X$267))</x:f>
        <x:v>0</x:v>
      </x:c>
      <x:c r="R163" t="n">
        <x:f>COUNTIF($E$2:$E$267,E163)</x:f>
        <x:v>12</x:v>
      </x:c>
      <x:c r="S163" t="n">
        <x:f>SUMIF($E$2:$E$267,E163,$J$2:$J$267)</x:f>
        <x:v>550.9426000000001</x:v>
      </x:c>
      <x:c r="T163" t="n">
        <x:f>IF(OR(NOT(ISNUMBER(Q163)),S163=0),"",Q163*('Conference pools'!$H$2/R163+'Conference pools'!$H$3*J163/S163))</x:f>
        <x:v>0</x:v>
      </x:c>
      <x:c r="U163" t="n">
        <x:f>IF(OR(NOT(ISNUMBER(P163)),NOT(ISNUMBER(T163))),"",T163-P163)</x:f>
        <x:v>0</x:v>
      </x:c>
      <x:c r="V163" s="8" t="str">
        <x:f>IF(OR(NOT(ISNUMBER(U163)),P163=0),"",U163/P163)</x:f>
      </x:c>
      <x:c r="W163" t="str">
        <x:f>IF(OR(NOT(ISNUMBER(T163)),NOT(ISNUMBER(K163))),"",T163-K163)</x:f>
      </x:c>
      <x:c r="X163" t="n">
        <x:f>IF(NOT(ISNUMBER(M163)),"",M163/N163)</x:f>
        <x:v>0</x:v>
      </x:c>
    </x:row>
    <x:row r="164">
      <x:c r="A164" t="str">
        <x:v>TARLETON_STATE</x:v>
      </x:c>
      <x:c r="B164" t="str">
        <x:v>Tarleton State University</x:v>
      </x:c>
      <x:c r="C164" t="str">
        <x:v>FCS</x:v>
      </x:c>
      <x:c r="D164" t="str">
        <x:v>United Athletic Conference</x:v>
      </x:c>
      <x:c r="E164" t="str">
        <x:v>Championship Plains</x:v>
      </x:c>
      <x:c r="F164" t="n">
        <x:v>3</x:v>
      </x:c>
      <x:c r="G164" t="n">
        <x:v>0.7778</x:v>
      </x:c>
      <x:c r="H164" t="n">
        <x:v>0.4495</x:v>
      </x:c>
      <x:c r="I164" t="n">
        <x:v>56.3997</x:v>
      </x:c>
      <x:c r="J164" t="n">
        <x:f>IF(ISNUMBER(I164),MAX(1,I164),1)</x:f>
        <x:v>56.3997</x:v>
      </x:c>
      <x:c r="K164"/>
      <x:c r="L164" t="str">
        <x:v>NOT VERIFIED</x:v>
      </x:c>
      <x:c r="M164" t="n">
        <x:f>IF(COUNTIFS('Conference pools'!$A$2:$A$25,D164,'Conference pools'!$D$2:$D$25,"&gt;=0")=0,"",SUMIF('Conference pools'!$A$2:$A$25,D164,'Conference pools'!$D$2:$D$25))</x:f>
        <x:v>0</x:v>
      </x:c>
      <x:c r="N164" t="n">
        <x:f>COUNTIF($D$2:$D$267,D164)</x:f>
        <x:v>8</x:v>
      </x:c>
      <x:c r="O164" t="n">
        <x:f>SUMIF($D$2:$D$267,D164,$J$2:$J$267)</x:f>
        <x:v>355.5065</x:v>
      </x:c>
      <x:c r="P164" t="n">
        <x:f>IF(OR(NOT(ISNUMBER(M164)),O164=0),"",M164*('Conference pools'!$H$2/N164+'Conference pools'!$H$3*J164/O164))</x:f>
        <x:v>0</x:v>
      </x:c>
      <x:c r="Q164" t="n">
        <x:f>IF(COUNTIFS($E$2:$E$267,E164,$X$2:$X$267,"&lt;&gt;")&lt;&gt;COUNTIF($E$2:$E$267,E164),"",SUMIF($E$2:$E$267,E164,$X$2:$X$267))</x:f>
        <x:v>0</x:v>
      </x:c>
      <x:c r="R164" t="n">
        <x:f>COUNTIF($E$2:$E$267,E164)</x:f>
        <x:v>12</x:v>
      </x:c>
      <x:c r="S164" t="n">
        <x:f>SUMIF($E$2:$E$267,E164,$J$2:$J$267)</x:f>
        <x:v>550.9426000000001</x:v>
      </x:c>
      <x:c r="T164" t="n">
        <x:f>IF(OR(NOT(ISNUMBER(Q164)),S164=0),"",Q164*('Conference pools'!$H$2/R164+'Conference pools'!$H$3*J164/S164))</x:f>
        <x:v>0</x:v>
      </x:c>
      <x:c r="U164" t="n">
        <x:f>IF(OR(NOT(ISNUMBER(P164)),NOT(ISNUMBER(T164))),"",T164-P164)</x:f>
        <x:v>0</x:v>
      </x:c>
      <x:c r="V164" s="8" t="str">
        <x:f>IF(OR(NOT(ISNUMBER(U164)),P164=0),"",U164/P164)</x:f>
      </x:c>
      <x:c r="W164" t="str">
        <x:f>IF(OR(NOT(ISNUMBER(T164)),NOT(ISNUMBER(K164))),"",T164-K164)</x:f>
      </x:c>
      <x:c r="X164" t="n">
        <x:f>IF(NOT(ISNUMBER(M164)),"",M164/N164)</x:f>
        <x:v>0</x:v>
      </x:c>
    </x:row>
    <x:row r="165">
      <x:c r="A165" t="str">
        <x:v>FLORIDA_AM</x:v>
      </x:c>
      <x:c r="B165" t="str">
        <x:v>Florida A&amp;M University</x:v>
      </x:c>
      <x:c r="C165" t="str">
        <x:v>FCS</x:v>
      </x:c>
      <x:c r="D165" t="str">
        <x:v>Southwestern Athletic Conference</x:v>
      </x:c>
      <x:c r="E165" t="str">
        <x:v>Championship Plains</x:v>
      </x:c>
      <x:c r="F165" t="n">
        <x:v>8</x:v>
      </x:c>
      <x:c r="G165" t="n">
        <x:v>0.6088</x:v>
      </x:c>
      <x:c r="H165" t="n">
        <x:v>0.4607</x:v>
      </x:c>
      <x:c r="I165" t="n">
        <x:v>46.6895</x:v>
      </x:c>
      <x:c r="J165" t="n">
        <x:f>IF(ISNUMBER(I165),MAX(1,I165),1)</x:f>
        <x:v>46.6895</x:v>
      </x:c>
      <x:c r="K165"/>
      <x:c r="L165" t="str">
        <x:v>NOT VERIFIED</x:v>
      </x:c>
      <x:c r="M165" t="n">
        <x:f>IF(COUNTIFS('Conference pools'!$A$2:$A$25,D165,'Conference pools'!$D$2:$D$25,"&gt;=0")=0,"",SUMIF('Conference pools'!$A$2:$A$25,D165,'Conference pools'!$D$2:$D$25))</x:f>
        <x:v>0</x:v>
      </x:c>
      <x:c r="N165" t="n">
        <x:f>COUNTIF($D$2:$D$267,D165)</x:f>
        <x:v>12</x:v>
      </x:c>
      <x:c r="O165" t="n">
        <x:f>SUMIF($D$2:$D$267,D165,$J$2:$J$267)</x:f>
        <x:v>469.56230000000005</x:v>
      </x:c>
      <x:c r="P165" t="n">
        <x:f>IF(OR(NOT(ISNUMBER(M165)),O165=0),"",M165*('Conference pools'!$H$2/N165+'Conference pools'!$H$3*J165/O165))</x:f>
        <x:v>0</x:v>
      </x:c>
      <x:c r="Q165" t="n">
        <x:f>IF(COUNTIFS($E$2:$E$267,E165,$X$2:$X$267,"&lt;&gt;")&lt;&gt;COUNTIF($E$2:$E$267,E165),"",SUMIF($E$2:$E$267,E165,$X$2:$X$267))</x:f>
        <x:v>0</x:v>
      </x:c>
      <x:c r="R165" t="n">
        <x:f>COUNTIF($E$2:$E$267,E165)</x:f>
        <x:v>12</x:v>
      </x:c>
      <x:c r="S165" t="n">
        <x:f>SUMIF($E$2:$E$267,E165,$J$2:$J$267)</x:f>
        <x:v>550.9426000000001</x:v>
      </x:c>
      <x:c r="T165" t="n">
        <x:f>IF(OR(NOT(ISNUMBER(Q165)),S165=0),"",Q165*('Conference pools'!$H$2/R165+'Conference pools'!$H$3*J165/S165))</x:f>
        <x:v>0</x:v>
      </x:c>
      <x:c r="U165" t="n">
        <x:f>IF(OR(NOT(ISNUMBER(P165)),NOT(ISNUMBER(T165))),"",T165-P165)</x:f>
        <x:v>0</x:v>
      </x:c>
      <x:c r="V165" s="8" t="str">
        <x:f>IF(OR(NOT(ISNUMBER(U165)),P165=0),"",U165/P165)</x:f>
      </x:c>
      <x:c r="W165" t="str">
        <x:f>IF(OR(NOT(ISNUMBER(T165)),NOT(ISNUMBER(K165))),"",T165-K165)</x:f>
      </x:c>
      <x:c r="X165" t="n">
        <x:f>IF(NOT(ISNUMBER(M165)),"",M165/N165)</x:f>
        <x:v>0</x:v>
      </x:c>
    </x:row>
    <x:row r="166">
      <x:c r="A166" t="str">
        <x:v>JACKSON_STATE</x:v>
      </x:c>
      <x:c r="B166" t="str">
        <x:v>Jackson State University</x:v>
      </x:c>
      <x:c r="C166" t="str">
        <x:v>FCS</x:v>
      </x:c>
      <x:c r="D166" t="str">
        <x:v>Southwestern Athletic Conference</x:v>
      </x:c>
      <x:c r="E166" t="str">
        <x:v>Championship Plains</x:v>
      </x:c>
      <x:c r="F166" t="n">
        <x:v>4</x:v>
      </x:c>
      <x:c r="G166" t="n">
        <x:v>0.7662</x:v>
      </x:c>
      <x:c r="H166" t="n">
        <x:v>0.4486</x:v>
      </x:c>
      <x:c r="I166" t="n">
        <x:v>53.9804</x:v>
      </x:c>
      <x:c r="J166" t="n">
        <x:f>IF(ISNUMBER(I166),MAX(1,I166),1)</x:f>
        <x:v>53.9804</x:v>
      </x:c>
      <x:c r="K166"/>
      <x:c r="L166" t="str">
        <x:v>NOT VERIFIED</x:v>
      </x:c>
      <x:c r="M166" t="n">
        <x:f>IF(COUNTIFS('Conference pools'!$A$2:$A$25,D166,'Conference pools'!$D$2:$D$25,"&gt;=0")=0,"",SUMIF('Conference pools'!$A$2:$A$25,D166,'Conference pools'!$D$2:$D$25))</x:f>
        <x:v>0</x:v>
      </x:c>
      <x:c r="N166" t="n">
        <x:f>COUNTIF($D$2:$D$267,D166)</x:f>
        <x:v>12</x:v>
      </x:c>
      <x:c r="O166" t="n">
        <x:f>SUMIF($D$2:$D$267,D166,$J$2:$J$267)</x:f>
        <x:v>469.56230000000005</x:v>
      </x:c>
      <x:c r="P166" t="n">
        <x:f>IF(OR(NOT(ISNUMBER(M166)),O166=0),"",M166*('Conference pools'!$H$2/N166+'Conference pools'!$H$3*J166/O166))</x:f>
        <x:v>0</x:v>
      </x:c>
      <x:c r="Q166" t="n">
        <x:f>IF(COUNTIFS($E$2:$E$267,E166,$X$2:$X$267,"&lt;&gt;")&lt;&gt;COUNTIF($E$2:$E$267,E166),"",SUMIF($E$2:$E$267,E166,$X$2:$X$267))</x:f>
        <x:v>0</x:v>
      </x:c>
      <x:c r="R166" t="n">
        <x:f>COUNTIF($E$2:$E$267,E166)</x:f>
        <x:v>12</x:v>
      </x:c>
      <x:c r="S166" t="n">
        <x:f>SUMIF($E$2:$E$267,E166,$J$2:$J$267)</x:f>
        <x:v>550.9426000000001</x:v>
      </x:c>
      <x:c r="T166" t="n">
        <x:f>IF(OR(NOT(ISNUMBER(Q166)),S166=0),"",Q166*('Conference pools'!$H$2/R166+'Conference pools'!$H$3*J166/S166))</x:f>
        <x:v>0</x:v>
      </x:c>
      <x:c r="U166" t="n">
        <x:f>IF(OR(NOT(ISNUMBER(P166)),NOT(ISNUMBER(T166))),"",T166-P166)</x:f>
        <x:v>0</x:v>
      </x:c>
      <x:c r="V166" s="8" t="str">
        <x:f>IF(OR(NOT(ISNUMBER(U166)),P166=0),"",U166/P166)</x:f>
      </x:c>
      <x:c r="W166" t="str">
        <x:f>IF(OR(NOT(ISNUMBER(T166)),NOT(ISNUMBER(K166))),"",T166-K166)</x:f>
      </x:c>
      <x:c r="X166" t="n">
        <x:f>IF(NOT(ISNUMBER(M166)),"",M166/N166)</x:f>
        <x:v>0</x:v>
      </x:c>
    </x:row>
    <x:row r="167">
      <x:c r="A167" t="str">
        <x:v>ALABAMA_STATE</x:v>
      </x:c>
      <x:c r="B167" t="str">
        <x:v>Alabama State University</x:v>
      </x:c>
      <x:c r="C167" t="str">
        <x:v>FCS</x:v>
      </x:c>
      <x:c r="D167" t="str">
        <x:v>Southwestern Athletic Conference</x:v>
      </x:c>
      <x:c r="E167" t="str">
        <x:v>Championship Plains</x:v>
      </x:c>
      <x:c r="F167" t="n">
        <x:v>6</x:v>
      </x:c>
      <x:c r="G167" t="n">
        <x:v>0.6986</x:v>
      </x:c>
      <x:c r="H167" t="n">
        <x:v>0.4629</x:v>
      </x:c>
      <x:c r="I167" t="n">
        <x:v>49.8548</x:v>
      </x:c>
      <x:c r="J167" t="n">
        <x:f>IF(ISNUMBER(I167),MAX(1,I167),1)</x:f>
        <x:v>49.8548</x:v>
      </x:c>
      <x:c r="K167"/>
      <x:c r="L167" t="str">
        <x:v>NOT VERIFIED</x:v>
      </x:c>
      <x:c r="M167" t="n">
        <x:f>IF(COUNTIFS('Conference pools'!$A$2:$A$25,D167,'Conference pools'!$D$2:$D$25,"&gt;=0")=0,"",SUMIF('Conference pools'!$A$2:$A$25,D167,'Conference pools'!$D$2:$D$25))</x:f>
        <x:v>0</x:v>
      </x:c>
      <x:c r="N167" t="n">
        <x:f>COUNTIF($D$2:$D$267,D167)</x:f>
        <x:v>12</x:v>
      </x:c>
      <x:c r="O167" t="n">
        <x:f>SUMIF($D$2:$D$267,D167,$J$2:$J$267)</x:f>
        <x:v>469.56230000000005</x:v>
      </x:c>
      <x:c r="P167" t="n">
        <x:f>IF(OR(NOT(ISNUMBER(M167)),O167=0),"",M167*('Conference pools'!$H$2/N167+'Conference pools'!$H$3*J167/O167))</x:f>
        <x:v>0</x:v>
      </x:c>
      <x:c r="Q167" t="n">
        <x:f>IF(COUNTIFS($E$2:$E$267,E167,$X$2:$X$267,"&lt;&gt;")&lt;&gt;COUNTIF($E$2:$E$267,E167),"",SUMIF($E$2:$E$267,E167,$X$2:$X$267))</x:f>
        <x:v>0</x:v>
      </x:c>
      <x:c r="R167" t="n">
        <x:f>COUNTIF($E$2:$E$267,E167)</x:f>
        <x:v>12</x:v>
      </x:c>
      <x:c r="S167" t="n">
        <x:f>SUMIF($E$2:$E$267,E167,$J$2:$J$267)</x:f>
        <x:v>550.9426000000001</x:v>
      </x:c>
      <x:c r="T167" t="n">
        <x:f>IF(OR(NOT(ISNUMBER(Q167)),S167=0),"",Q167*('Conference pools'!$H$2/R167+'Conference pools'!$H$3*J167/S167))</x:f>
        <x:v>0</x:v>
      </x:c>
      <x:c r="U167" t="n">
        <x:f>IF(OR(NOT(ISNUMBER(P167)),NOT(ISNUMBER(T167))),"",T167-P167)</x:f>
        <x:v>0</x:v>
      </x:c>
      <x:c r="V167" s="8" t="str">
        <x:f>IF(OR(NOT(ISNUMBER(U167)),P167=0),"",U167/P167)</x:f>
      </x:c>
      <x:c r="W167" t="str">
        <x:f>IF(OR(NOT(ISNUMBER(T167)),NOT(ISNUMBER(K167))),"",T167-K167)</x:f>
      </x:c>
      <x:c r="X167" t="n">
        <x:f>IF(NOT(ISNUMBER(M167)),"",M167/N167)</x:f>
        <x:v>0</x:v>
      </x:c>
    </x:row>
    <x:row r="168">
      <x:c r="A168" t="str">
        <x:v>ABILENE_CHRISTIAN</x:v>
      </x:c>
      <x:c r="B168" t="str">
        <x:v>Abilene Christian University</x:v>
      </x:c>
      <x:c r="C168" t="str">
        <x:v>FCS</x:v>
      </x:c>
      <x:c r="D168" t="str">
        <x:v>United Athletic Conference</x:v>
      </x:c>
      <x:c r="E168" t="str">
        <x:v>Championship Plains</x:v>
      </x:c>
      <x:c r="F168" t="n">
        <x:v>8</x:v>
      </x:c>
      <x:c r="G168" t="n">
        <x:v>0.6033</x:v>
      </x:c>
      <x:c r="H168" t="n">
        <x:v>0.4985</x:v>
      </x:c>
      <x:c r="I168" t="n">
        <x:v>47.1736</x:v>
      </x:c>
      <x:c r="J168" t="n">
        <x:f>IF(ISNUMBER(I168),MAX(1,I168),1)</x:f>
        <x:v>47.1736</x:v>
      </x:c>
      <x:c r="K168"/>
      <x:c r="L168" t="str">
        <x:v>NOT VERIFIED</x:v>
      </x:c>
      <x:c r="M168" t="n">
        <x:f>IF(COUNTIFS('Conference pools'!$A$2:$A$25,D168,'Conference pools'!$D$2:$D$25,"&gt;=0")=0,"",SUMIF('Conference pools'!$A$2:$A$25,D168,'Conference pools'!$D$2:$D$25))</x:f>
        <x:v>0</x:v>
      </x:c>
      <x:c r="N168" t="n">
        <x:f>COUNTIF($D$2:$D$267,D168)</x:f>
        <x:v>8</x:v>
      </x:c>
      <x:c r="O168" t="n">
        <x:f>SUMIF($D$2:$D$267,D168,$J$2:$J$267)</x:f>
        <x:v>355.5065</x:v>
      </x:c>
      <x:c r="P168" t="n">
        <x:f>IF(OR(NOT(ISNUMBER(M168)),O168=0),"",M168*('Conference pools'!$H$2/N168+'Conference pools'!$H$3*J168/O168))</x:f>
        <x:v>0</x:v>
      </x:c>
      <x:c r="Q168" t="n">
        <x:f>IF(COUNTIFS($E$2:$E$267,E168,$X$2:$X$267,"&lt;&gt;")&lt;&gt;COUNTIF($E$2:$E$267,E168),"",SUMIF($E$2:$E$267,E168,$X$2:$X$267))</x:f>
        <x:v>0</x:v>
      </x:c>
      <x:c r="R168" t="n">
        <x:f>COUNTIF($E$2:$E$267,E168)</x:f>
        <x:v>12</x:v>
      </x:c>
      <x:c r="S168" t="n">
        <x:f>SUMIF($E$2:$E$267,E168,$J$2:$J$267)</x:f>
        <x:v>550.9426000000001</x:v>
      </x:c>
      <x:c r="T168" t="n">
        <x:f>IF(OR(NOT(ISNUMBER(Q168)),S168=0),"",Q168*('Conference pools'!$H$2/R168+'Conference pools'!$H$3*J168/S168))</x:f>
        <x:v>0</x:v>
      </x:c>
      <x:c r="U168" t="n">
        <x:f>IF(OR(NOT(ISNUMBER(P168)),NOT(ISNUMBER(T168))),"",T168-P168)</x:f>
        <x:v>0</x:v>
      </x:c>
      <x:c r="V168" s="8" t="str">
        <x:f>IF(OR(NOT(ISNUMBER(U168)),P168=0),"",U168/P168)</x:f>
      </x:c>
      <x:c r="W168" t="str">
        <x:f>IF(OR(NOT(ISNUMBER(T168)),NOT(ISNUMBER(K168))),"",T168-K168)</x:f>
      </x:c>
      <x:c r="X168" t="n">
        <x:f>IF(NOT(ISNUMBER(M168)),"",M168/N168)</x:f>
        <x:v>0</x:v>
      </x:c>
    </x:row>
    <x:row r="169">
      <x:c r="A169" t="str">
        <x:v>ALCORN_STATE</x:v>
      </x:c>
      <x:c r="B169" t="str">
        <x:v>Alcorn State University</x:v>
      </x:c>
      <x:c r="C169" t="str">
        <x:v>FCS</x:v>
      </x:c>
      <x:c r="D169" t="str">
        <x:v>Southwestern Athletic Conference</x:v>
      </x:c>
      <x:c r="E169" t="str">
        <x:v>Championship Plains</x:v>
      </x:c>
      <x:c r="F169" t="n">
        <x:v>15</x:v>
      </x:c>
      <x:c r="G169" t="n">
        <x:v>0.498</x:v>
      </x:c>
      <x:c r="H169" t="n">
        <x:v>0.4043</x:v>
      </x:c>
      <x:c r="I169" t="n">
        <x:v>41.2536</x:v>
      </x:c>
      <x:c r="J169" t="n">
        <x:f>IF(ISNUMBER(I169),MAX(1,I169),1)</x:f>
        <x:v>41.2536</x:v>
      </x:c>
      <x:c r="K169"/>
      <x:c r="L169" t="str">
        <x:v>NOT VERIFIED</x:v>
      </x:c>
      <x:c r="M169" t="n">
        <x:f>IF(COUNTIFS('Conference pools'!$A$2:$A$25,D169,'Conference pools'!$D$2:$D$25,"&gt;=0")=0,"",SUMIF('Conference pools'!$A$2:$A$25,D169,'Conference pools'!$D$2:$D$25))</x:f>
        <x:v>0</x:v>
      </x:c>
      <x:c r="N169" t="n">
        <x:f>COUNTIF($D$2:$D$267,D169)</x:f>
        <x:v>12</x:v>
      </x:c>
      <x:c r="O169" t="n">
        <x:f>SUMIF($D$2:$D$267,D169,$J$2:$J$267)</x:f>
        <x:v>469.56230000000005</x:v>
      </x:c>
      <x:c r="P169" t="n">
        <x:f>IF(OR(NOT(ISNUMBER(M169)),O169=0),"",M169*('Conference pools'!$H$2/N169+'Conference pools'!$H$3*J169/O169))</x:f>
        <x:v>0</x:v>
      </x:c>
      <x:c r="Q169" t="n">
        <x:f>IF(COUNTIFS($E$2:$E$267,E169,$X$2:$X$267,"&lt;&gt;")&lt;&gt;COUNTIF($E$2:$E$267,E169),"",SUMIF($E$2:$E$267,E169,$X$2:$X$267))</x:f>
        <x:v>0</x:v>
      </x:c>
      <x:c r="R169" t="n">
        <x:f>COUNTIF($E$2:$E$267,E169)</x:f>
        <x:v>12</x:v>
      </x:c>
      <x:c r="S169" t="n">
        <x:f>SUMIF($E$2:$E$267,E169,$J$2:$J$267)</x:f>
        <x:v>550.9426000000001</x:v>
      </x:c>
      <x:c r="T169" t="n">
        <x:f>IF(OR(NOT(ISNUMBER(Q169)),S169=0),"",Q169*('Conference pools'!$H$2/R169+'Conference pools'!$H$3*J169/S169))</x:f>
        <x:v>0</x:v>
      </x:c>
      <x:c r="U169" t="n">
        <x:f>IF(OR(NOT(ISNUMBER(P169)),NOT(ISNUMBER(T169))),"",T169-P169)</x:f>
        <x:v>0</x:v>
      </x:c>
      <x:c r="V169" s="8" t="str">
        <x:f>IF(OR(NOT(ISNUMBER(U169)),P169=0),"",U169/P169)</x:f>
      </x:c>
      <x:c r="W169" t="str">
        <x:f>IF(OR(NOT(ISNUMBER(T169)),NOT(ISNUMBER(K169))),"",T169-K169)</x:f>
      </x:c>
      <x:c r="X169" t="n">
        <x:f>IF(NOT(ISNUMBER(M169)),"",M169/N169)</x:f>
        <x:v>0</x:v>
      </x:c>
    </x:row>
    <x:row r="170">
      <x:c r="A170" t="str">
        <x:v>CENTRAL_ARKANSAS</x:v>
      </x:c>
      <x:c r="B170" t="str">
        <x:v>University of Central Arkansas</x:v>
      </x:c>
      <x:c r="C170" t="str">
        <x:v>FCS</x:v>
      </x:c>
      <x:c r="D170" t="str">
        <x:v>United Athletic Conference</x:v>
      </x:c>
      <x:c r="E170" t="str">
        <x:v>Championship Plains</x:v>
      </x:c>
      <x:c r="F170" t="n">
        <x:v>13</x:v>
      </x:c>
      <x:c r="G170" t="n">
        <x:v>0.4295</x:v>
      </x:c>
      <x:c r="H170" t="n">
        <x:v>0.498</x:v>
      </x:c>
      <x:c r="I170" t="n">
        <x:v>42.6286</x:v>
      </x:c>
      <x:c r="J170" t="n">
        <x:f>IF(ISNUMBER(I170),MAX(1,I170),1)</x:f>
        <x:v>42.6286</x:v>
      </x:c>
      <x:c r="K170"/>
      <x:c r="L170" t="str">
        <x:v>NOT VERIFIED</x:v>
      </x:c>
      <x:c r="M170" t="n">
        <x:f>IF(COUNTIFS('Conference pools'!$A$2:$A$25,D170,'Conference pools'!$D$2:$D$25,"&gt;=0")=0,"",SUMIF('Conference pools'!$A$2:$A$25,D170,'Conference pools'!$D$2:$D$25))</x:f>
        <x:v>0</x:v>
      </x:c>
      <x:c r="N170" t="n">
        <x:f>COUNTIF($D$2:$D$267,D170)</x:f>
        <x:v>8</x:v>
      </x:c>
      <x:c r="O170" t="n">
        <x:f>SUMIF($D$2:$D$267,D170,$J$2:$J$267)</x:f>
        <x:v>355.5065</x:v>
      </x:c>
      <x:c r="P170" t="n">
        <x:f>IF(OR(NOT(ISNUMBER(M170)),O170=0),"",M170*('Conference pools'!$H$2/N170+'Conference pools'!$H$3*J170/O170))</x:f>
        <x:v>0</x:v>
      </x:c>
      <x:c r="Q170" t="n">
        <x:f>IF(COUNTIFS($E$2:$E$267,E170,$X$2:$X$267,"&lt;&gt;")&lt;&gt;COUNTIF($E$2:$E$267,E170),"",SUMIF($E$2:$E$267,E170,$X$2:$X$267))</x:f>
        <x:v>0</x:v>
      </x:c>
      <x:c r="R170" t="n">
        <x:f>COUNTIF($E$2:$E$267,E170)</x:f>
        <x:v>12</x:v>
      </x:c>
      <x:c r="S170" t="n">
        <x:f>SUMIF($E$2:$E$267,E170,$J$2:$J$267)</x:f>
        <x:v>550.9426000000001</x:v>
      </x:c>
      <x:c r="T170" t="n">
        <x:f>IF(OR(NOT(ISNUMBER(Q170)),S170=0),"",Q170*('Conference pools'!$H$2/R170+'Conference pools'!$H$3*J170/S170))</x:f>
        <x:v>0</x:v>
      </x:c>
      <x:c r="U170" t="n">
        <x:f>IF(OR(NOT(ISNUMBER(P170)),NOT(ISNUMBER(T170))),"",T170-P170)</x:f>
        <x:v>0</x:v>
      </x:c>
      <x:c r="V170" s="8" t="str">
        <x:f>IF(OR(NOT(ISNUMBER(U170)),P170=0),"",U170/P170)</x:f>
      </x:c>
      <x:c r="W170" t="str">
        <x:f>IF(OR(NOT(ISNUMBER(T170)),NOT(ISNUMBER(K170))),"",T170-K170)</x:f>
      </x:c>
      <x:c r="X170" t="n">
        <x:f>IF(NOT(ISNUMBER(M170)),"",M170/N170)</x:f>
        <x:v>0</x:v>
      </x:c>
    </x:row>
    <x:row r="171">
      <x:c r="A171" t="str">
        <x:v>LAMAR</x:v>
      </x:c>
      <x:c r="B171" t="str">
        <x:v>Lamar University</x:v>
      </x:c>
      <x:c r="C171" t="str">
        <x:v>FCS</x:v>
      </x:c>
      <x:c r="D171" t="str">
        <x:v>Southland Conference</x:v>
      </x:c>
      <x:c r="E171" t="str">
        <x:v>Championship Plains</x:v>
      </x:c>
      <x:c r="F171" t="n">
        <x:v>12</x:v>
      </x:c>
      <x:c r="G171" t="n">
        <x:v>0.5885</x:v>
      </x:c>
      <x:c r="H171" t="n">
        <x:v>0.4594</x:v>
      </x:c>
      <x:c r="I171" t="n">
        <x:v>42.9152</x:v>
      </x:c>
      <x:c r="J171" t="n">
        <x:f>IF(ISNUMBER(I171),MAX(1,I171),1)</x:f>
        <x:v>42.9152</x:v>
      </x:c>
      <x:c r="K171"/>
      <x:c r="L171" t="str">
        <x:v>NOT VERIFIED</x:v>
      </x:c>
      <x:c r="M171" t="n">
        <x:f>IF(COUNTIFS('Conference pools'!$A$2:$A$25,D171,'Conference pools'!$D$2:$D$25,"&gt;=0")=0,"",SUMIF('Conference pools'!$A$2:$A$25,D171,'Conference pools'!$D$2:$D$25))</x:f>
        <x:v>0</x:v>
      </x:c>
      <x:c r="N171" t="n">
        <x:f>COUNTIF($D$2:$D$267,D171)</x:f>
        <x:v>10</x:v>
      </x:c>
      <x:c r="O171" t="n">
        <x:f>SUMIF($D$2:$D$267,D171,$J$2:$J$267)</x:f>
        <x:v>391.2068</x:v>
      </x:c>
      <x:c r="P171" t="n">
        <x:f>IF(OR(NOT(ISNUMBER(M171)),O171=0),"",M171*('Conference pools'!$H$2/N171+'Conference pools'!$H$3*J171/O171))</x:f>
        <x:v>0</x:v>
      </x:c>
      <x:c r="Q171" t="n">
        <x:f>IF(COUNTIFS($E$2:$E$267,E171,$X$2:$X$267,"&lt;&gt;")&lt;&gt;COUNTIF($E$2:$E$267,E171),"",SUMIF($E$2:$E$267,E171,$X$2:$X$267))</x:f>
        <x:v>0</x:v>
      </x:c>
      <x:c r="R171" t="n">
        <x:f>COUNTIF($E$2:$E$267,E171)</x:f>
        <x:v>12</x:v>
      </x:c>
      <x:c r="S171" t="n">
        <x:f>SUMIF($E$2:$E$267,E171,$J$2:$J$267)</x:f>
        <x:v>550.9426000000001</x:v>
      </x:c>
      <x:c r="T171" t="n">
        <x:f>IF(OR(NOT(ISNUMBER(Q171)),S171=0),"",Q171*('Conference pools'!$H$2/R171+'Conference pools'!$H$3*J171/S171))</x:f>
        <x:v>0</x:v>
      </x:c>
      <x:c r="U171" t="n">
        <x:f>IF(OR(NOT(ISNUMBER(P171)),NOT(ISNUMBER(T171))),"",T171-P171)</x:f>
        <x:v>0</x:v>
      </x:c>
      <x:c r="V171" s="8" t="str">
        <x:f>IF(OR(NOT(ISNUMBER(U171)),P171=0),"",U171/P171)</x:f>
      </x:c>
      <x:c r="W171" t="str">
        <x:f>IF(OR(NOT(ISNUMBER(T171)),NOT(ISNUMBER(K171))),"",T171-K171)</x:f>
      </x:c>
      <x:c r="X171" t="n">
        <x:f>IF(NOT(ISNUMBER(M171)),"",M171/N171)</x:f>
        <x:v>0</x:v>
      </x:c>
    </x:row>
    <x:row r="172">
      <x:c r="A172" t="str">
        <x:v>NICHOLLS</x:v>
      </x:c>
      <x:c r="B172" t="str">
        <x:v>Nicholls State University</x:v>
      </x:c>
      <x:c r="C172" t="str">
        <x:v>FCS</x:v>
      </x:c>
      <x:c r="D172" t="str">
        <x:v>Southland Conference</x:v>
      </x:c>
      <x:c r="E172" t="str">
        <x:v>Championship Plains</x:v>
      </x:c>
      <x:c r="F172" t="n">
        <x:v>18</x:v>
      </x:c>
      <x:c r="G172" t="n">
        <x:v>0.3966</x:v>
      </x:c>
      <x:c r="H172" t="n">
        <x:v>0.4753</x:v>
      </x:c>
      <x:c r="I172" t="n">
        <x:v>38.6583</x:v>
      </x:c>
      <x:c r="J172" t="n">
        <x:f>IF(ISNUMBER(I172),MAX(1,I172),1)</x:f>
        <x:v>38.6583</x:v>
      </x:c>
      <x:c r="K172"/>
      <x:c r="L172" t="str">
        <x:v>NOT VERIFIED</x:v>
      </x:c>
      <x:c r="M172" t="n">
        <x:f>IF(COUNTIFS('Conference pools'!$A$2:$A$25,D172,'Conference pools'!$D$2:$D$25,"&gt;=0")=0,"",SUMIF('Conference pools'!$A$2:$A$25,D172,'Conference pools'!$D$2:$D$25))</x:f>
        <x:v>0</x:v>
      </x:c>
      <x:c r="N172" t="n">
        <x:f>COUNTIF($D$2:$D$267,D172)</x:f>
        <x:v>10</x:v>
      </x:c>
      <x:c r="O172" t="n">
        <x:f>SUMIF($D$2:$D$267,D172,$J$2:$J$267)</x:f>
        <x:v>391.2068</x:v>
      </x:c>
      <x:c r="P172" t="n">
        <x:f>IF(OR(NOT(ISNUMBER(M172)),O172=0),"",M172*('Conference pools'!$H$2/N172+'Conference pools'!$H$3*J172/O172))</x:f>
        <x:v>0</x:v>
      </x:c>
      <x:c r="Q172" t="n">
        <x:f>IF(COUNTIFS($E$2:$E$267,E172,$X$2:$X$267,"&lt;&gt;")&lt;&gt;COUNTIF($E$2:$E$267,E172),"",SUMIF($E$2:$E$267,E172,$X$2:$X$267))</x:f>
        <x:v>0</x:v>
      </x:c>
      <x:c r="R172" t="n">
        <x:f>COUNTIF($E$2:$E$267,E172)</x:f>
        <x:v>12</x:v>
      </x:c>
      <x:c r="S172" t="n">
        <x:f>SUMIF($E$2:$E$267,E172,$J$2:$J$267)</x:f>
        <x:v>550.9426000000001</x:v>
      </x:c>
      <x:c r="T172" t="n">
        <x:f>IF(OR(NOT(ISNUMBER(Q172)),S172=0),"",Q172*('Conference pools'!$H$2/R172+'Conference pools'!$H$3*J172/S172))</x:f>
        <x:v>0</x:v>
      </x:c>
      <x:c r="U172" t="n">
        <x:f>IF(OR(NOT(ISNUMBER(P172)),NOT(ISNUMBER(T172))),"",T172-P172)</x:f>
        <x:v>0</x:v>
      </x:c>
      <x:c r="V172" s="8" t="str">
        <x:f>IF(OR(NOT(ISNUMBER(U172)),P172=0),"",U172/P172)</x:f>
      </x:c>
      <x:c r="W172" t="str">
        <x:f>IF(OR(NOT(ISNUMBER(T172)),NOT(ISNUMBER(K172))),"",T172-K172)</x:f>
      </x:c>
      <x:c r="X172" t="n">
        <x:f>IF(NOT(ISNUMBER(M172)),"",M172/N172)</x:f>
        <x:v>0</x:v>
      </x:c>
    </x:row>
    <x:row r="173">
      <x:c r="A173" t="str">
        <x:v>SOUTHERN</x:v>
      </x:c>
      <x:c r="B173" t="str">
        <x:v>Southern University and A&amp;M College</x:v>
      </x:c>
      <x:c r="C173" t="str">
        <x:v>FCS</x:v>
      </x:c>
      <x:c r="D173" t="str">
        <x:v>Southwestern Athletic Conference</x:v>
      </x:c>
      <x:c r="E173" t="str">
        <x:v>Championship Plains</x:v>
      </x:c>
      <x:c r="F173" t="n">
        <x:v>19</x:v>
      </x:c>
      <x:c r="G173" t="n">
        <x:v>0.4202</x:v>
      </x:c>
      <x:c r="H173" t="n">
        <x:v>0.5139</x:v>
      </x:c>
      <x:c r="I173" t="n">
        <x:v>38.0965</x:v>
      </x:c>
      <x:c r="J173" t="n">
        <x:f>IF(ISNUMBER(I173),MAX(1,I173),1)</x:f>
        <x:v>38.0965</x:v>
      </x:c>
      <x:c r="K173"/>
      <x:c r="L173" t="str">
        <x:v>NOT VERIFIED</x:v>
      </x:c>
      <x:c r="M173" t="n">
        <x:f>IF(COUNTIFS('Conference pools'!$A$2:$A$25,D173,'Conference pools'!$D$2:$D$25,"&gt;=0")=0,"",SUMIF('Conference pools'!$A$2:$A$25,D173,'Conference pools'!$D$2:$D$25))</x:f>
        <x:v>0</x:v>
      </x:c>
      <x:c r="N173" t="n">
        <x:f>COUNTIF($D$2:$D$267,D173)</x:f>
        <x:v>12</x:v>
      </x:c>
      <x:c r="O173" t="n">
        <x:f>SUMIF($D$2:$D$267,D173,$J$2:$J$267)</x:f>
        <x:v>469.56230000000005</x:v>
      </x:c>
      <x:c r="P173" t="n">
        <x:f>IF(OR(NOT(ISNUMBER(M173)),O173=0),"",M173*('Conference pools'!$H$2/N173+'Conference pools'!$H$3*J173/O173))</x:f>
        <x:v>0</x:v>
      </x:c>
      <x:c r="Q173" t="n">
        <x:f>IF(COUNTIFS($E$2:$E$267,E173,$X$2:$X$267,"&lt;&gt;")&lt;&gt;COUNTIF($E$2:$E$267,E173),"",SUMIF($E$2:$E$267,E173,$X$2:$X$267))</x:f>
        <x:v>0</x:v>
      </x:c>
      <x:c r="R173" t="n">
        <x:f>COUNTIF($E$2:$E$267,E173)</x:f>
        <x:v>12</x:v>
      </x:c>
      <x:c r="S173" t="n">
        <x:f>SUMIF($E$2:$E$267,E173,$J$2:$J$267)</x:f>
        <x:v>550.9426000000001</x:v>
      </x:c>
      <x:c r="T173" t="n">
        <x:f>IF(OR(NOT(ISNUMBER(Q173)),S173=0),"",Q173*('Conference pools'!$H$2/R173+'Conference pools'!$H$3*J173/S173))</x:f>
        <x:v>0</x:v>
      </x:c>
      <x:c r="U173" t="n">
        <x:f>IF(OR(NOT(ISNUMBER(P173)),NOT(ISNUMBER(T173))),"",T173-P173)</x:f>
        <x:v>0</x:v>
      </x:c>
      <x:c r="V173" s="8" t="str">
        <x:f>IF(OR(NOT(ISNUMBER(U173)),P173=0),"",U173/P173)</x:f>
      </x:c>
      <x:c r="W173" t="str">
        <x:f>IF(OR(NOT(ISNUMBER(T173)),NOT(ISNUMBER(K173))),"",T173-K173)</x:f>
      </x:c>
      <x:c r="X173" t="n">
        <x:f>IF(NOT(ISNUMBER(M173)),"",M173/N173)</x:f>
        <x:v>0</x:v>
      </x:c>
    </x:row>
    <x:row r="174">
      <x:c r="A174" t="str">
        <x:v>PRAIRIE_VIEW_AM</x:v>
      </x:c>
      <x:c r="B174" t="str">
        <x:v>Prairie View A&amp;M University</x:v>
      </x:c>
      <x:c r="C174" t="str">
        <x:v>FCS</x:v>
      </x:c>
      <x:c r="D174" t="str">
        <x:v>Southwestern Athletic Conference</x:v>
      </x:c>
      <x:c r="E174" t="str">
        <x:v>Championship Plains</x:v>
      </x:c>
      <x:c r="F174" t="n">
        <x:v>12</x:v>
      </x:c>
      <x:c r="G174" t="n">
        <x:v>0.5673</x:v>
      </x:c>
      <x:c r="H174" t="n">
        <x:v>0.4653</x:v>
      </x:c>
      <x:c r="I174" t="n">
        <x:v>43.4869</x:v>
      </x:c>
      <x:c r="J174" t="n">
        <x:f>IF(ISNUMBER(I174),MAX(1,I174),1)</x:f>
        <x:v>43.4869</x:v>
      </x:c>
      <x:c r="K174"/>
      <x:c r="L174" t="str">
        <x:v>NOT VERIFIED</x:v>
      </x:c>
      <x:c r="M174" t="n">
        <x:f>IF(COUNTIFS('Conference pools'!$A$2:$A$25,D174,'Conference pools'!$D$2:$D$25,"&gt;=0")=0,"",SUMIF('Conference pools'!$A$2:$A$25,D174,'Conference pools'!$D$2:$D$25))</x:f>
        <x:v>0</x:v>
      </x:c>
      <x:c r="N174" t="n">
        <x:f>COUNTIF($D$2:$D$267,D174)</x:f>
        <x:v>12</x:v>
      </x:c>
      <x:c r="O174" t="n">
        <x:f>SUMIF($D$2:$D$267,D174,$J$2:$J$267)</x:f>
        <x:v>469.56230000000005</x:v>
      </x:c>
      <x:c r="P174" t="n">
        <x:f>IF(OR(NOT(ISNUMBER(M174)),O174=0),"",M174*('Conference pools'!$H$2/N174+'Conference pools'!$H$3*J174/O174))</x:f>
        <x:v>0</x:v>
      </x:c>
      <x:c r="Q174" t="n">
        <x:f>IF(COUNTIFS($E$2:$E$267,E174,$X$2:$X$267,"&lt;&gt;")&lt;&gt;COUNTIF($E$2:$E$267,E174),"",SUMIF($E$2:$E$267,E174,$X$2:$X$267))</x:f>
        <x:v>0</x:v>
      </x:c>
      <x:c r="R174" t="n">
        <x:f>COUNTIF($E$2:$E$267,E174)</x:f>
        <x:v>12</x:v>
      </x:c>
      <x:c r="S174" t="n">
        <x:f>SUMIF($E$2:$E$267,E174,$J$2:$J$267)</x:f>
        <x:v>550.9426000000001</x:v>
      </x:c>
      <x:c r="T174" t="n">
        <x:f>IF(OR(NOT(ISNUMBER(Q174)),S174=0),"",Q174*('Conference pools'!$H$2/R174+'Conference pools'!$H$3*J174/S174))</x:f>
        <x:v>0</x:v>
      </x:c>
      <x:c r="U174" t="n">
        <x:f>IF(OR(NOT(ISNUMBER(P174)),NOT(ISNUMBER(T174))),"",T174-P174)</x:f>
        <x:v>0</x:v>
      </x:c>
      <x:c r="V174" s="8" t="str">
        <x:f>IF(OR(NOT(ISNUMBER(U174)),P174=0),"",U174/P174)</x:f>
      </x:c>
      <x:c r="W174" t="str">
        <x:f>IF(OR(NOT(ISNUMBER(T174)),NOT(ISNUMBER(K174))),"",T174-K174)</x:f>
      </x:c>
      <x:c r="X174" t="n">
        <x:f>IF(NOT(ISNUMBER(M174)),"",M174/N174)</x:f>
        <x:v>0</x:v>
      </x:c>
    </x:row>
    <x:row r="175">
      <x:c r="A175" t="str">
        <x:v>VILLANOVA</x:v>
      </x:c>
      <x:c r="B175" t="str">
        <x:v>Villanova University</x:v>
      </x:c>
      <x:c r="C175" t="str">
        <x:v>FCS</x:v>
      </x:c>
      <x:c r="D175" t="str">
        <x:v>Patriot League</x:v>
      </x:c>
      <x:c r="E175" t="str">
        <x:v>Championship Southeast</x:v>
      </x:c>
      <x:c r="F175" t="n">
        <x:v>3</x:v>
      </x:c>
      <x:c r="G175" t="n">
        <x:v>0.7636</x:v>
      </x:c>
      <x:c r="H175" t="n">
        <x:v>0.5247</x:v>
      </x:c>
      <x:c r="I175" t="n">
        <x:v>57.267</x:v>
      </x:c>
      <x:c r="J175" t="n">
        <x:f>IF(ISNUMBER(I175),MAX(1,I175),1)</x:f>
        <x:v>57.267</x:v>
      </x:c>
      <x:c r="K175"/>
      <x:c r="L175" t="str">
        <x:v>NOT VERIFIED</x:v>
      </x:c>
      <x:c r="M175" t="n">
        <x:f>IF(COUNTIFS('Conference pools'!$A$2:$A$25,D175,'Conference pools'!$D$2:$D$25,"&gt;=0")=0,"",SUMIF('Conference pools'!$A$2:$A$25,D175,'Conference pools'!$D$2:$D$25))</x:f>
        <x:v>0</x:v>
      </x:c>
      <x:c r="N175" t="n">
        <x:f>COUNTIF($D$2:$D$267,D175)</x:f>
        <x:v>10</x:v>
      </x:c>
      <x:c r="O175" t="n">
        <x:f>SUMIF($D$2:$D$267,D175,$J$2:$J$267)</x:f>
        <x:v>431.0682</x:v>
      </x:c>
      <x:c r="P175" t="n">
        <x:f>IF(OR(NOT(ISNUMBER(M175)),O175=0),"",M175*('Conference pools'!$H$2/N175+'Conference pools'!$H$3*J175/O175))</x:f>
        <x:v>0</x:v>
      </x:c>
      <x:c r="Q175" t="n">
        <x:f>IF(COUNTIFS($E$2:$E$267,E175,$X$2:$X$267,"&lt;&gt;")&lt;&gt;COUNTIF($E$2:$E$267,E175),"",SUMIF($E$2:$E$267,E175,$X$2:$X$267))</x:f>
        <x:v>0</x:v>
      </x:c>
      <x:c r="R175" t="n">
        <x:f>COUNTIF($E$2:$E$267,E175)</x:f>
        <x:v>12</x:v>
      </x:c>
      <x:c r="S175" t="n">
        <x:f>SUMIF($E$2:$E$267,E175,$J$2:$J$267)</x:f>
        <x:v>543.4309999999999</x:v>
      </x:c>
      <x:c r="T175" t="n">
        <x:f>IF(OR(NOT(ISNUMBER(Q175)),S175=0),"",Q175*('Conference pools'!$H$2/R175+'Conference pools'!$H$3*J175/S175))</x:f>
        <x:v>0</x:v>
      </x:c>
      <x:c r="U175" t="n">
        <x:f>IF(OR(NOT(ISNUMBER(P175)),NOT(ISNUMBER(T175))),"",T175-P175)</x:f>
        <x:v>0</x:v>
      </x:c>
      <x:c r="V175" s="8" t="str">
        <x:f>IF(OR(NOT(ISNUMBER(U175)),P175=0),"",U175/P175)</x:f>
      </x:c>
      <x:c r="W175" t="str">
        <x:f>IF(OR(NOT(ISNUMBER(T175)),NOT(ISNUMBER(K175))),"",T175-K175)</x:f>
      </x:c>
      <x:c r="X175" t="n">
        <x:f>IF(NOT(ISNUMBER(M175)),"",M175/N175)</x:f>
        <x:v>0</x:v>
      </x:c>
    </x:row>
    <x:row r="176">
      <x:c r="A176" t="str">
        <x:v>NC_CENTRAL</x:v>
      </x:c>
      <x:c r="B176" t="str">
        <x:v>North Carolina Central University</x:v>
      </x:c>
      <x:c r="C176" t="str">
        <x:v>FCS</x:v>
      </x:c>
      <x:c r="D176" t="str">
        <x:v>Mid-Eastern Athletic Conference</x:v>
      </x:c>
      <x:c r="E176" t="str">
        <x:v>Championship Southeast</x:v>
      </x:c>
      <x:c r="F176" t="n">
        <x:v>5</x:v>
      </x:c>
      <x:c r="G176" t="n">
        <x:v>0.7081</x:v>
      </x:c>
      <x:c r="H176" t="n">
        <x:v>0.4011</x:v>
      </x:c>
      <x:c r="I176" t="n">
        <x:v>50.3542</x:v>
      </x:c>
      <x:c r="J176" t="n">
        <x:f>IF(ISNUMBER(I176),MAX(1,I176),1)</x:f>
        <x:v>50.3542</x:v>
      </x:c>
      <x:c r="K176"/>
      <x:c r="L176" t="str">
        <x:v>NOT VERIFIED</x:v>
      </x:c>
      <x:c r="M176" t="n">
        <x:f>IF(COUNTIFS('Conference pools'!$A$2:$A$25,D176,'Conference pools'!$D$2:$D$25,"&gt;=0")=0,"",SUMIF('Conference pools'!$A$2:$A$25,D176,'Conference pools'!$D$2:$D$25))</x:f>
        <x:v>0</x:v>
      </x:c>
      <x:c r="N176" t="n">
        <x:f>COUNTIF($D$2:$D$267,D176)</x:f>
        <x:v>6</x:v>
      </x:c>
      <x:c r="O176" t="n">
        <x:f>SUMIF($D$2:$D$267,D176,$J$2:$J$267)</x:f>
        <x:v>227.7955</x:v>
      </x:c>
      <x:c r="P176" t="n">
        <x:f>IF(OR(NOT(ISNUMBER(M176)),O176=0),"",M176*('Conference pools'!$H$2/N176+'Conference pools'!$H$3*J176/O176))</x:f>
        <x:v>0</x:v>
      </x:c>
      <x:c r="Q176" t="n">
        <x:f>IF(COUNTIFS($E$2:$E$267,E176,$X$2:$X$267,"&lt;&gt;")&lt;&gt;COUNTIF($E$2:$E$267,E176),"",SUMIF($E$2:$E$267,E176,$X$2:$X$267))</x:f>
        <x:v>0</x:v>
      </x:c>
      <x:c r="R176" t="n">
        <x:f>COUNTIF($E$2:$E$267,E176)</x:f>
        <x:v>12</x:v>
      </x:c>
      <x:c r="S176" t="n">
        <x:f>SUMIF($E$2:$E$267,E176,$J$2:$J$267)</x:f>
        <x:v>543.4309999999999</x:v>
      </x:c>
      <x:c r="T176" t="n">
        <x:f>IF(OR(NOT(ISNUMBER(Q176)),S176=0),"",Q176*('Conference pools'!$H$2/R176+'Conference pools'!$H$3*J176/S176))</x:f>
        <x:v>0</x:v>
      </x:c>
      <x:c r="U176" t="n">
        <x:f>IF(OR(NOT(ISNUMBER(P176)),NOT(ISNUMBER(T176))),"",T176-P176)</x:f>
        <x:v>0</x:v>
      </x:c>
      <x:c r="V176" s="8" t="str">
        <x:f>IF(OR(NOT(ISNUMBER(U176)),P176=0),"",U176/P176)</x:f>
      </x:c>
      <x:c r="W176" t="str">
        <x:f>IF(OR(NOT(ISNUMBER(T176)),NOT(ISNUMBER(K176))),"",T176-K176)</x:f>
      </x:c>
      <x:c r="X176" t="n">
        <x:f>IF(NOT(ISNUMBER(M176)),"",M176/N176)</x:f>
        <x:v>0</x:v>
      </x:c>
    </x:row>
    <x:row r="177">
      <x:c r="A177" t="str">
        <x:v>RICHMOND</x:v>
      </x:c>
      <x:c r="B177" t="str">
        <x:v>University of Richmond</x:v>
      </x:c>
      <x:c r="C177" t="str">
        <x:v>FCS</x:v>
      </x:c>
      <x:c r="D177" t="str">
        <x:v>Patriot League</x:v>
      </x:c>
      <x:c r="E177" t="str">
        <x:v>Championship Southeast</x:v>
      </x:c>
      <x:c r="F177" t="n">
        <x:v>6</x:v>
      </x:c>
      <x:c r="G177" t="n">
        <x:v>0.6779</x:v>
      </x:c>
      <x:c r="H177" t="n">
        <x:v>0.4075</x:v>
      </x:c>
      <x:c r="I177" t="n">
        <x:v>49.5564</x:v>
      </x:c>
      <x:c r="J177" t="n">
        <x:f>IF(ISNUMBER(I177),MAX(1,I177),1)</x:f>
        <x:v>49.5564</x:v>
      </x:c>
      <x:c r="K177"/>
      <x:c r="L177" t="str">
        <x:v>NOT VERIFIED</x:v>
      </x:c>
      <x:c r="M177" t="n">
        <x:f>IF(COUNTIFS('Conference pools'!$A$2:$A$25,D177,'Conference pools'!$D$2:$D$25,"&gt;=0")=0,"",SUMIF('Conference pools'!$A$2:$A$25,D177,'Conference pools'!$D$2:$D$25))</x:f>
        <x:v>0</x:v>
      </x:c>
      <x:c r="N177" t="n">
        <x:f>COUNTIF($D$2:$D$267,D177)</x:f>
        <x:v>10</x:v>
      </x:c>
      <x:c r="O177" t="n">
        <x:f>SUMIF($D$2:$D$267,D177,$J$2:$J$267)</x:f>
        <x:v>431.0682</x:v>
      </x:c>
      <x:c r="P177" t="n">
        <x:f>IF(OR(NOT(ISNUMBER(M177)),O177=0),"",M177*('Conference pools'!$H$2/N177+'Conference pools'!$H$3*J177/O177))</x:f>
        <x:v>0</x:v>
      </x:c>
      <x:c r="Q177" t="n">
        <x:f>IF(COUNTIFS($E$2:$E$267,E177,$X$2:$X$267,"&lt;&gt;")&lt;&gt;COUNTIF($E$2:$E$267,E177),"",SUMIF($E$2:$E$267,E177,$X$2:$X$267))</x:f>
        <x:v>0</x:v>
      </x:c>
      <x:c r="R177" t="n">
        <x:f>COUNTIF($E$2:$E$267,E177)</x:f>
        <x:v>12</x:v>
      </x:c>
      <x:c r="S177" t="n">
        <x:f>SUMIF($E$2:$E$267,E177,$J$2:$J$267)</x:f>
        <x:v>543.4309999999999</x:v>
      </x:c>
      <x:c r="T177" t="n">
        <x:f>IF(OR(NOT(ISNUMBER(Q177)),S177=0),"",Q177*('Conference pools'!$H$2/R177+'Conference pools'!$H$3*J177/S177))</x:f>
        <x:v>0</x:v>
      </x:c>
      <x:c r="U177" t="n">
        <x:f>IF(OR(NOT(ISNUMBER(P177)),NOT(ISNUMBER(T177))),"",T177-P177)</x:f>
        <x:v>0</x:v>
      </x:c>
      <x:c r="V177" s="8" t="str">
        <x:f>IF(OR(NOT(ISNUMBER(U177)),P177=0),"",U177/P177)</x:f>
      </x:c>
      <x:c r="W177" t="str">
        <x:f>IF(OR(NOT(ISNUMBER(T177)),NOT(ISNUMBER(K177))),"",T177-K177)</x:f>
      </x:c>
      <x:c r="X177" t="n">
        <x:f>IF(NOT(ISNUMBER(M177)),"",M177/N177)</x:f>
        <x:v>0</x:v>
      </x:c>
    </x:row>
    <x:row r="178">
      <x:c r="A178" t="str">
        <x:v>DUQUESNE</x:v>
      </x:c>
      <x:c r="B178" t="str">
        <x:v>Duquesne University</x:v>
      </x:c>
      <x:c r="C178" t="str">
        <x:v>FCS</x:v>
      </x:c>
      <x:c r="D178" t="str">
        <x:v>Northeast Conference</x:v>
      </x:c>
      <x:c r="E178" t="str">
        <x:v>Championship Southeast</x:v>
      </x:c>
      <x:c r="F178" t="n">
        <x:v>8</x:v>
      </x:c>
      <x:c r="G178" t="n">
        <x:v>0.6302</x:v>
      </x:c>
      <x:c r="H178" t="n">
        <x:v>0.4235</x:v>
      </x:c>
      <x:c r="I178" t="n">
        <x:v>46.8377</x:v>
      </x:c>
      <x:c r="J178" t="n">
        <x:f>IF(ISNUMBER(I178),MAX(1,I178),1)</x:f>
        <x:v>46.8377</x:v>
      </x:c>
      <x:c r="K178"/>
      <x:c r="L178" t="str">
        <x:v>NOT VERIFIED</x:v>
      </x:c>
      <x:c r="M178" t="n">
        <x:f>IF(COUNTIFS('Conference pools'!$A$2:$A$25,D178,'Conference pools'!$D$2:$D$25,"&gt;=0")=0,"",SUMIF('Conference pools'!$A$2:$A$25,D178,'Conference pools'!$D$2:$D$25))</x:f>
        <x:v>0</x:v>
      </x:c>
      <x:c r="N178" t="n">
        <x:f>COUNTIF($D$2:$D$267,D178)</x:f>
        <x:v>8</x:v>
      </x:c>
      <x:c r="O178" t="n">
        <x:f>SUMIF($D$2:$D$267,D178,$J$2:$J$267)</x:f>
        <x:v>291.4439</x:v>
      </x:c>
      <x:c r="P178" t="n">
        <x:f>IF(OR(NOT(ISNUMBER(M178)),O178=0),"",M178*('Conference pools'!$H$2/N178+'Conference pools'!$H$3*J178/O178))</x:f>
        <x:v>0</x:v>
      </x:c>
      <x:c r="Q178" t="n">
        <x:f>IF(COUNTIFS($E$2:$E$267,E178,$X$2:$X$267,"&lt;&gt;")&lt;&gt;COUNTIF($E$2:$E$267,E178),"",SUMIF($E$2:$E$267,E178,$X$2:$X$267))</x:f>
        <x:v>0</x:v>
      </x:c>
      <x:c r="R178" t="n">
        <x:f>COUNTIF($E$2:$E$267,E178)</x:f>
        <x:v>12</x:v>
      </x:c>
      <x:c r="S178" t="n">
        <x:f>SUMIF($E$2:$E$267,E178,$J$2:$J$267)</x:f>
        <x:v>543.4309999999999</x:v>
      </x:c>
      <x:c r="T178" t="n">
        <x:f>IF(OR(NOT(ISNUMBER(Q178)),S178=0),"",Q178*('Conference pools'!$H$2/R178+'Conference pools'!$H$3*J178/S178))</x:f>
        <x:v>0</x:v>
      </x:c>
      <x:c r="U178" t="n">
        <x:f>IF(OR(NOT(ISNUMBER(P178)),NOT(ISNUMBER(T178))),"",T178-P178)</x:f>
        <x:v>0</x:v>
      </x:c>
      <x:c r="V178" s="8" t="str">
        <x:f>IF(OR(NOT(ISNUMBER(U178)),P178=0),"",U178/P178)</x:f>
      </x:c>
      <x:c r="W178" t="str">
        <x:f>IF(OR(NOT(ISNUMBER(T178)),NOT(ISNUMBER(K178))),"",T178-K178)</x:f>
      </x:c>
      <x:c r="X178" t="n">
        <x:f>IF(NOT(ISNUMBER(M178)),"",M178/N178)</x:f>
        <x:v>0</x:v>
      </x:c>
    </x:row>
    <x:row r="179">
      <x:c r="A179" t="str">
        <x:v>WESTERN_CAROLINA</x:v>
      </x:c>
      <x:c r="B179" t="str">
        <x:v>Western Carolina University</x:v>
      </x:c>
      <x:c r="C179" t="str">
        <x:v>FCS</x:v>
      </x:c>
      <x:c r="D179" t="str">
        <x:v>Southern Conference</x:v>
      </x:c>
      <x:c r="E179" t="str">
        <x:v>Championship Southeast</x:v>
      </x:c>
      <x:c r="F179" t="n">
        <x:v>9</x:v>
      </x:c>
      <x:c r="G179" t="n">
        <x:v>0.5959</x:v>
      </x:c>
      <x:c r="H179" t="n">
        <x:v>0.436</x:v>
      </x:c>
      <x:c r="I179" t="n">
        <x:v>45.4919</x:v>
      </x:c>
      <x:c r="J179" t="n">
        <x:f>IF(ISNUMBER(I179),MAX(1,I179),1)</x:f>
        <x:v>45.4919</x:v>
      </x:c>
      <x:c r="K179"/>
      <x:c r="L179" t="str">
        <x:v>NOT VERIFIED</x:v>
      </x:c>
      <x:c r="M179" t="n">
        <x:f>IF(COUNTIFS('Conference pools'!$A$2:$A$25,D179,'Conference pools'!$D$2:$D$25,"&gt;=0")=0,"",SUMIF('Conference pools'!$A$2:$A$25,D179,'Conference pools'!$D$2:$D$25))</x:f>
        <x:v>0</x:v>
      </x:c>
      <x:c r="N179" t="n">
        <x:f>COUNTIF($D$2:$D$267,D179)</x:f>
        <x:v>10</x:v>
      </x:c>
      <x:c r="O179" t="n">
        <x:f>SUMIF($D$2:$D$267,D179,$J$2:$J$267)</x:f>
        <x:v>405.9278999999999</x:v>
      </x:c>
      <x:c r="P179" t="n">
        <x:f>IF(OR(NOT(ISNUMBER(M179)),O179=0),"",M179*('Conference pools'!$H$2/N179+'Conference pools'!$H$3*J179/O179))</x:f>
        <x:v>0</x:v>
      </x:c>
      <x:c r="Q179" t="n">
        <x:f>IF(COUNTIFS($E$2:$E$267,E179,$X$2:$X$267,"&lt;&gt;")&lt;&gt;COUNTIF($E$2:$E$267,E179),"",SUMIF($E$2:$E$267,E179,$X$2:$X$267))</x:f>
        <x:v>0</x:v>
      </x:c>
      <x:c r="R179" t="n">
        <x:f>COUNTIF($E$2:$E$267,E179)</x:f>
        <x:v>12</x:v>
      </x:c>
      <x:c r="S179" t="n">
        <x:f>SUMIF($E$2:$E$267,E179,$J$2:$J$267)</x:f>
        <x:v>543.4309999999999</x:v>
      </x:c>
      <x:c r="T179" t="n">
        <x:f>IF(OR(NOT(ISNUMBER(Q179)),S179=0),"",Q179*('Conference pools'!$H$2/R179+'Conference pools'!$H$3*J179/S179))</x:f>
        <x:v>0</x:v>
      </x:c>
      <x:c r="U179" t="n">
        <x:f>IF(OR(NOT(ISNUMBER(P179)),NOT(ISNUMBER(T179))),"",T179-P179)</x:f>
        <x:v>0</x:v>
      </x:c>
      <x:c r="V179" s="8" t="str">
        <x:f>IF(OR(NOT(ISNUMBER(U179)),P179=0),"",U179/P179)</x:f>
      </x:c>
      <x:c r="W179" t="str">
        <x:f>IF(OR(NOT(ISNUMBER(T179)),NOT(ISNUMBER(K179))),"",T179-K179)</x:f>
      </x:c>
      <x:c r="X179" t="n">
        <x:f>IF(NOT(ISNUMBER(M179)),"",M179/N179)</x:f>
        <x:v>0</x:v>
      </x:c>
    </x:row>
    <x:row r="180">
      <x:c r="A180" t="str">
        <x:v>WILLIAM_MARY</x:v>
      </x:c>
      <x:c r="B180" t="str">
        <x:v>College of William &amp; Mary</x:v>
      </x:c>
      <x:c r="C180" t="str">
        <x:v>FCS</x:v>
      </x:c>
      <x:c r="D180" t="str">
        <x:v>Patriot League</x:v>
      </x:c>
      <x:c r="E180" t="str">
        <x:v>Championship Southeast</x:v>
      </x:c>
      <x:c r="F180" t="n">
        <x:v>9</x:v>
      </x:c>
      <x:c r="G180" t="n">
        <x:v>0.5744</x:v>
      </x:c>
      <x:c r="H180" t="n">
        <x:v>0.4216</x:v>
      </x:c>
      <x:c r="I180" t="n">
        <x:v>46.0391</x:v>
      </x:c>
      <x:c r="J180" t="n">
        <x:f>IF(ISNUMBER(I180),MAX(1,I180),1)</x:f>
        <x:v>46.0391</x:v>
      </x:c>
      <x:c r="K180"/>
      <x:c r="L180" t="str">
        <x:v>NOT VERIFIED</x:v>
      </x:c>
      <x:c r="M180" t="n">
        <x:f>IF(COUNTIFS('Conference pools'!$A$2:$A$25,D180,'Conference pools'!$D$2:$D$25,"&gt;=0")=0,"",SUMIF('Conference pools'!$A$2:$A$25,D180,'Conference pools'!$D$2:$D$25))</x:f>
        <x:v>0</x:v>
      </x:c>
      <x:c r="N180" t="n">
        <x:f>COUNTIF($D$2:$D$267,D180)</x:f>
        <x:v>10</x:v>
      </x:c>
      <x:c r="O180" t="n">
        <x:f>SUMIF($D$2:$D$267,D180,$J$2:$J$267)</x:f>
        <x:v>431.0682</x:v>
      </x:c>
      <x:c r="P180" t="n">
        <x:f>IF(OR(NOT(ISNUMBER(M180)),O180=0),"",M180*('Conference pools'!$H$2/N180+'Conference pools'!$H$3*J180/O180))</x:f>
        <x:v>0</x:v>
      </x:c>
      <x:c r="Q180" t="n">
        <x:f>IF(COUNTIFS($E$2:$E$267,E180,$X$2:$X$267,"&lt;&gt;")&lt;&gt;COUNTIF($E$2:$E$267,E180),"",SUMIF($E$2:$E$267,E180,$X$2:$X$267))</x:f>
        <x:v>0</x:v>
      </x:c>
      <x:c r="R180" t="n">
        <x:f>COUNTIF($E$2:$E$267,E180)</x:f>
        <x:v>12</x:v>
      </x:c>
      <x:c r="S180" t="n">
        <x:f>SUMIF($E$2:$E$267,E180,$J$2:$J$267)</x:f>
        <x:v>543.4309999999999</x:v>
      </x:c>
      <x:c r="T180" t="n">
        <x:f>IF(OR(NOT(ISNUMBER(Q180)),S180=0),"",Q180*('Conference pools'!$H$2/R180+'Conference pools'!$H$3*J180/S180))</x:f>
        <x:v>0</x:v>
      </x:c>
      <x:c r="U180" t="n">
        <x:f>IF(OR(NOT(ISNUMBER(P180)),NOT(ISNUMBER(T180))),"",T180-P180)</x:f>
        <x:v>0</x:v>
      </x:c>
      <x:c r="V180" s="8" t="str">
        <x:f>IF(OR(NOT(ISNUMBER(U180)),P180=0),"",U180/P180)</x:f>
      </x:c>
      <x:c r="W180" t="str">
        <x:f>IF(OR(NOT(ISNUMBER(T180)),NOT(ISNUMBER(K180))),"",T180-K180)</x:f>
      </x:c>
      <x:c r="X180" t="n">
        <x:f>IF(NOT(ISNUMBER(M180)),"",M180/N180)</x:f>
        <x:v>0</x:v>
      </x:c>
    </x:row>
    <x:row r="181">
      <x:c r="A181" t="str">
        <x:v>YOUNGSTOWN_STATE</x:v>
      </x:c>
      <x:c r="B181" t="str">
        <x:v>Youngstown State University</x:v>
      </x:c>
      <x:c r="C181" t="str">
        <x:v>FCS</x:v>
      </x:c>
      <x:c r="D181" t="str">
        <x:v>Missouri Valley Football Conference</x:v>
      </x:c>
      <x:c r="E181" t="str">
        <x:v>Championship Southeast</x:v>
      </x:c>
      <x:c r="F181" t="n">
        <x:v>9</x:v>
      </x:c>
      <x:c r="G181" t="n">
        <x:v>0.5232</x:v>
      </x:c>
      <x:c r="H181" t="n">
        <x:v>0.5188</x:v>
      </x:c>
      <x:c r="I181" t="n">
        <x:v>46.359</x:v>
      </x:c>
      <x:c r="J181" t="n">
        <x:f>IF(ISNUMBER(I181),MAX(1,I181),1)</x:f>
        <x:v>46.359</x:v>
      </x:c>
      <x:c r="K181"/>
      <x:c r="L181" t="str">
        <x:v>NOT VERIFIED</x:v>
      </x:c>
      <x:c r="M181" t="n">
        <x:f>IF(COUNTIFS('Conference pools'!$A$2:$A$25,D181,'Conference pools'!$D$2:$D$25,"&gt;=0")=0,"",SUMIF('Conference pools'!$A$2:$A$25,D181,'Conference pools'!$D$2:$D$25))</x:f>
        <x:v>0</x:v>
      </x:c>
      <x:c r="N181" t="n">
        <x:f>COUNTIF($D$2:$D$267,D181)</x:f>
        <x:v>9</x:v>
      </x:c>
      <x:c r="O181" t="n">
        <x:f>SUMIF($D$2:$D$267,D181,$J$2:$J$267)</x:f>
        <x:v>406.3407</x:v>
      </x:c>
      <x:c r="P181" t="n">
        <x:f>IF(OR(NOT(ISNUMBER(M181)),O181=0),"",M181*('Conference pools'!$H$2/N181+'Conference pools'!$H$3*J181/O181))</x:f>
        <x:v>0</x:v>
      </x:c>
      <x:c r="Q181" t="n">
        <x:f>IF(COUNTIFS($E$2:$E$267,E181,$X$2:$X$267,"&lt;&gt;")&lt;&gt;COUNTIF($E$2:$E$267,E181),"",SUMIF($E$2:$E$267,E181,$X$2:$X$267))</x:f>
        <x:v>0</x:v>
      </x:c>
      <x:c r="R181" t="n">
        <x:f>COUNTIF($E$2:$E$267,E181)</x:f>
        <x:v>12</x:v>
      </x:c>
      <x:c r="S181" t="n">
        <x:f>SUMIF($E$2:$E$267,E181,$J$2:$J$267)</x:f>
        <x:v>543.4309999999999</x:v>
      </x:c>
      <x:c r="T181" t="n">
        <x:f>IF(OR(NOT(ISNUMBER(Q181)),S181=0),"",Q181*('Conference pools'!$H$2/R181+'Conference pools'!$H$3*J181/S181))</x:f>
        <x:v>0</x:v>
      </x:c>
      <x:c r="U181" t="n">
        <x:f>IF(OR(NOT(ISNUMBER(P181)),NOT(ISNUMBER(T181))),"",T181-P181)</x:f>
        <x:v>0</x:v>
      </x:c>
      <x:c r="V181" s="8" t="str">
        <x:f>IF(OR(NOT(ISNUMBER(U181)),P181=0),"",U181/P181)</x:f>
      </x:c>
      <x:c r="W181" t="str">
        <x:f>IF(OR(NOT(ISNUMBER(T181)),NOT(ISNUMBER(K181))),"",T181-K181)</x:f>
      </x:c>
      <x:c r="X181" t="n">
        <x:f>IF(NOT(ISNUMBER(M181)),"",M181/N181)</x:f>
        <x:v>0</x:v>
      </x:c>
    </x:row>
    <x:row r="182">
      <x:c r="A182" t="str">
        <x:v>DAVIDSON</x:v>
      </x:c>
      <x:c r="B182" t="str">
        <x:v>Davidson College</x:v>
      </x:c>
      <x:c r="C182" t="str">
        <x:v>FCS</x:v>
      </x:c>
      <x:c r="D182" t="str">
        <x:v>Pioneer Football League</x:v>
      </x:c>
      <x:c r="E182" t="str">
        <x:v>Championship Southeast</x:v>
      </x:c>
      <x:c r="F182" t="n">
        <x:v>22</x:v>
      </x:c>
      <x:c r="G182" t="n">
        <x:v>0.4073</x:v>
      </x:c>
      <x:c r="H182" t="n">
        <x:v>0.4857</x:v>
      </x:c>
      <x:c r="I182" t="n">
        <x:v>36.327</x:v>
      </x:c>
      <x:c r="J182" t="n">
        <x:f>IF(ISNUMBER(I182),MAX(1,I182),1)</x:f>
        <x:v>36.327</x:v>
      </x:c>
      <x:c r="K182"/>
      <x:c r="L182" t="str">
        <x:v>NOT VERIFIED</x:v>
      </x:c>
      <x:c r="M182" t="n">
        <x:f>IF(COUNTIFS('Conference pools'!$A$2:$A$25,D182,'Conference pools'!$D$2:$D$25,"&gt;=0")=0,"",SUMIF('Conference pools'!$A$2:$A$25,D182,'Conference pools'!$D$2:$D$25))</x:f>
        <x:v>0</x:v>
      </x:c>
      <x:c r="N182" t="n">
        <x:f>COUNTIF($D$2:$D$267,D182)</x:f>
        <x:v>11</x:v>
      </x:c>
      <x:c r="O182" t="n">
        <x:f>SUMIF($D$2:$D$267,D182,$J$2:$J$267)</x:f>
        <x:v>418.72029999999995</x:v>
      </x:c>
      <x:c r="P182" t="n">
        <x:f>IF(OR(NOT(ISNUMBER(M182)),O182=0),"",M182*('Conference pools'!$H$2/N182+'Conference pools'!$H$3*J182/O182))</x:f>
        <x:v>0</x:v>
      </x:c>
      <x:c r="Q182" t="n">
        <x:f>IF(COUNTIFS($E$2:$E$267,E182,$X$2:$X$267,"&lt;&gt;")&lt;&gt;COUNTIF($E$2:$E$267,E182),"",SUMIF($E$2:$E$267,E182,$X$2:$X$267))</x:f>
        <x:v>0</x:v>
      </x:c>
      <x:c r="R182" t="n">
        <x:f>COUNTIF($E$2:$E$267,E182)</x:f>
        <x:v>12</x:v>
      </x:c>
      <x:c r="S182" t="n">
        <x:f>SUMIF($E$2:$E$267,E182,$J$2:$J$267)</x:f>
        <x:v>543.4309999999999</x:v>
      </x:c>
      <x:c r="T182" t="n">
        <x:f>IF(OR(NOT(ISNUMBER(Q182)),S182=0),"",Q182*('Conference pools'!$H$2/R182+'Conference pools'!$H$3*J182/S182))</x:f>
        <x:v>0</x:v>
      </x:c>
      <x:c r="U182" t="n">
        <x:f>IF(OR(NOT(ISNUMBER(P182)),NOT(ISNUMBER(T182))),"",T182-P182)</x:f>
        <x:v>0</x:v>
      </x:c>
      <x:c r="V182" s="8" t="str">
        <x:f>IF(OR(NOT(ISNUMBER(U182)),P182=0),"",U182/P182)</x:f>
      </x:c>
      <x:c r="W182" t="str">
        <x:f>IF(OR(NOT(ISNUMBER(T182)),NOT(ISNUMBER(K182))),"",T182-K182)</x:f>
      </x:c>
      <x:c r="X182" t="n">
        <x:f>IF(NOT(ISNUMBER(M182)),"",M182/N182)</x:f>
        <x:v>0</x:v>
      </x:c>
    </x:row>
    <x:row r="183">
      <x:c r="A183" t="str">
        <x:v>ELON</x:v>
      </x:c>
      <x:c r="B183" t="str">
        <x:v>Elon University</x:v>
      </x:c>
      <x:c r="C183" t="str">
        <x:v>FCS</x:v>
      </x:c>
      <x:c r="D183" t="str">
        <x:v>Coastal Athletic Association</x:v>
      </x:c>
      <x:c r="E183" t="str">
        <x:v>Championship Southeast</x:v>
      </x:c>
      <x:c r="F183" t="n">
        <x:v>11</x:v>
      </x:c>
      <x:c r="G183" t="n">
        <x:v>0.5108</x:v>
      </x:c>
      <x:c r="H183" t="n">
        <x:v>0.4944</x:v>
      </x:c>
      <x:c r="I183" t="n">
        <x:v>43.7939</x:v>
      </x:c>
      <x:c r="J183" t="n">
        <x:f>IF(ISNUMBER(I183),MAX(1,I183),1)</x:f>
        <x:v>43.7939</x:v>
      </x:c>
      <x:c r="K183"/>
      <x:c r="L183" t="str">
        <x:v>NOT VERIFIED</x:v>
      </x:c>
      <x:c r="M183" t="n">
        <x:f>IF(COUNTIFS('Conference pools'!$A$2:$A$25,D183,'Conference pools'!$D$2:$D$25,"&gt;=0")=0,"",SUMIF('Conference pools'!$A$2:$A$25,D183,'Conference pools'!$D$2:$D$25))</x:f>
        <x:v>0</x:v>
      </x:c>
      <x:c r="N183" t="n">
        <x:f>COUNTIF($D$2:$D$267,D183)</x:f>
        <x:v>13</x:v>
      </x:c>
      <x:c r="O183" t="n">
        <x:f>SUMIF($D$2:$D$267,D183,$J$2:$J$267)</x:f>
        <x:v>512.5445000000001</x:v>
      </x:c>
      <x:c r="P183" t="n">
        <x:f>IF(OR(NOT(ISNUMBER(M183)),O183=0),"",M183*('Conference pools'!$H$2/N183+'Conference pools'!$H$3*J183/O183))</x:f>
        <x:v>0</x:v>
      </x:c>
      <x:c r="Q183" t="n">
        <x:f>IF(COUNTIFS($E$2:$E$267,E183,$X$2:$X$267,"&lt;&gt;")&lt;&gt;COUNTIF($E$2:$E$267,E183),"",SUMIF($E$2:$E$267,E183,$X$2:$X$267))</x:f>
        <x:v>0</x:v>
      </x:c>
      <x:c r="R183" t="n">
        <x:f>COUNTIF($E$2:$E$267,E183)</x:f>
        <x:v>12</x:v>
      </x:c>
      <x:c r="S183" t="n">
        <x:f>SUMIF($E$2:$E$267,E183,$J$2:$J$267)</x:f>
        <x:v>543.4309999999999</x:v>
      </x:c>
      <x:c r="T183" t="n">
        <x:f>IF(OR(NOT(ISNUMBER(Q183)),S183=0),"",Q183*('Conference pools'!$H$2/R183+'Conference pools'!$H$3*J183/S183))</x:f>
        <x:v>0</x:v>
      </x:c>
      <x:c r="U183" t="n">
        <x:f>IF(OR(NOT(ISNUMBER(P183)),NOT(ISNUMBER(T183))),"",T183-P183)</x:f>
        <x:v>0</x:v>
      </x:c>
      <x:c r="V183" s="8" t="str">
        <x:f>IF(OR(NOT(ISNUMBER(U183)),P183=0),"",U183/P183)</x:f>
      </x:c>
      <x:c r="W183" t="str">
        <x:f>IF(OR(NOT(ISNUMBER(T183)),NOT(ISNUMBER(K183))),"",T183-K183)</x:f>
      </x:c>
      <x:c r="X183" t="n">
        <x:f>IF(NOT(ISNUMBER(M183)),"",M183/N183)</x:f>
        <x:v>0</x:v>
      </x:c>
    </x:row>
    <x:row r="184">
      <x:c r="A184" t="str">
        <x:v>FURMAN</x:v>
      </x:c>
      <x:c r="B184" t="str">
        <x:v>Furman University</x:v>
      </x:c>
      <x:c r="C184" t="str">
        <x:v>FCS</x:v>
      </x:c>
      <x:c r="D184" t="str">
        <x:v>Southern Conference</x:v>
      </x:c>
      <x:c r="E184" t="str">
        <x:v>Championship Southeast</x:v>
      </x:c>
      <x:c r="F184" t="n">
        <x:v>12</x:v>
      </x:c>
      <x:c r="G184" t="n">
        <x:v>0.5019</x:v>
      </x:c>
      <x:c r="H184" t="n">
        <x:v>0.4584</x:v>
      </x:c>
      <x:c r="I184" t="n">
        <x:v>42.8433</x:v>
      </x:c>
      <x:c r="J184" t="n">
        <x:f>IF(ISNUMBER(I184),MAX(1,I184),1)</x:f>
        <x:v>42.8433</x:v>
      </x:c>
      <x:c r="K184"/>
      <x:c r="L184" t="str">
        <x:v>NOT VERIFIED</x:v>
      </x:c>
      <x:c r="M184" t="n">
        <x:f>IF(COUNTIFS('Conference pools'!$A$2:$A$25,D184,'Conference pools'!$D$2:$D$25,"&gt;=0")=0,"",SUMIF('Conference pools'!$A$2:$A$25,D184,'Conference pools'!$D$2:$D$25))</x:f>
        <x:v>0</x:v>
      </x:c>
      <x:c r="N184" t="n">
        <x:f>COUNTIF($D$2:$D$267,D184)</x:f>
        <x:v>10</x:v>
      </x:c>
      <x:c r="O184" t="n">
        <x:f>SUMIF($D$2:$D$267,D184,$J$2:$J$267)</x:f>
        <x:v>405.9278999999999</x:v>
      </x:c>
      <x:c r="P184" t="n">
        <x:f>IF(OR(NOT(ISNUMBER(M184)),O184=0),"",M184*('Conference pools'!$H$2/N184+'Conference pools'!$H$3*J184/O184))</x:f>
        <x:v>0</x:v>
      </x:c>
      <x:c r="Q184" t="n">
        <x:f>IF(COUNTIFS($E$2:$E$267,E184,$X$2:$X$267,"&lt;&gt;")&lt;&gt;COUNTIF($E$2:$E$267,E184),"",SUMIF($E$2:$E$267,E184,$X$2:$X$267))</x:f>
        <x:v>0</x:v>
      </x:c>
      <x:c r="R184" t="n">
        <x:f>COUNTIF($E$2:$E$267,E184)</x:f>
        <x:v>12</x:v>
      </x:c>
      <x:c r="S184" t="n">
        <x:f>SUMIF($E$2:$E$267,E184,$J$2:$J$267)</x:f>
        <x:v>543.4309999999999</x:v>
      </x:c>
      <x:c r="T184" t="n">
        <x:f>IF(OR(NOT(ISNUMBER(Q184)),S184=0),"",Q184*('Conference pools'!$H$2/R184+'Conference pools'!$H$3*J184/S184))</x:f>
        <x:v>0</x:v>
      </x:c>
      <x:c r="U184" t="n">
        <x:f>IF(OR(NOT(ISNUMBER(P184)),NOT(ISNUMBER(T184))),"",T184-P184)</x:f>
        <x:v>0</x:v>
      </x:c>
      <x:c r="V184" s="8" t="str">
        <x:f>IF(OR(NOT(ISNUMBER(U184)),P184=0),"",U184/P184)</x:f>
      </x:c>
      <x:c r="W184" t="str">
        <x:f>IF(OR(NOT(ISNUMBER(T184)),NOT(ISNUMBER(K184))),"",T184-K184)</x:f>
      </x:c>
      <x:c r="X184" t="n">
        <x:f>IF(NOT(ISNUMBER(M184)),"",M184/N184)</x:f>
        <x:v>0</x:v>
      </x:c>
    </x:row>
    <x:row r="185">
      <x:c r="A185" t="str">
        <x:v>DAYTON</x:v>
      </x:c>
      <x:c r="B185" t="str">
        <x:v>University of Dayton</x:v>
      </x:c>
      <x:c r="C185" t="str">
        <x:v>FCS</x:v>
      </x:c>
      <x:c r="D185" t="str">
        <x:v>Pioneer Football League</x:v>
      </x:c>
      <x:c r="E185" t="str">
        <x:v>Championship Southeast</x:v>
      </x:c>
      <x:c r="F185" t="n">
        <x:v>13</x:v>
      </x:c>
      <x:c r="G185" t="n">
        <x:v>0.5361</x:v>
      </x:c>
      <x:c r="H185" t="n">
        <x:v>0.4402</x:v>
      </x:c>
      <x:c r="I185" t="n">
        <x:v>42.1343</x:v>
      </x:c>
      <x:c r="J185" t="n">
        <x:f>IF(ISNUMBER(I185),MAX(1,I185),1)</x:f>
        <x:v>42.1343</x:v>
      </x:c>
      <x:c r="K185"/>
      <x:c r="L185" t="str">
        <x:v>NOT VERIFIED</x:v>
      </x:c>
      <x:c r="M185" t="n">
        <x:f>IF(COUNTIFS('Conference pools'!$A$2:$A$25,D185,'Conference pools'!$D$2:$D$25,"&gt;=0")=0,"",SUMIF('Conference pools'!$A$2:$A$25,D185,'Conference pools'!$D$2:$D$25))</x:f>
        <x:v>0</x:v>
      </x:c>
      <x:c r="N185" t="n">
        <x:f>COUNTIF($D$2:$D$267,D185)</x:f>
        <x:v>11</x:v>
      </x:c>
      <x:c r="O185" t="n">
        <x:f>SUMIF($D$2:$D$267,D185,$J$2:$J$267)</x:f>
        <x:v>418.72029999999995</x:v>
      </x:c>
      <x:c r="P185" t="n">
        <x:f>IF(OR(NOT(ISNUMBER(M185)),O185=0),"",M185*('Conference pools'!$H$2/N185+'Conference pools'!$H$3*J185/O185))</x:f>
        <x:v>0</x:v>
      </x:c>
      <x:c r="Q185" t="n">
        <x:f>IF(COUNTIFS($E$2:$E$267,E185,$X$2:$X$267,"&lt;&gt;")&lt;&gt;COUNTIF($E$2:$E$267,E185),"",SUMIF($E$2:$E$267,E185,$X$2:$X$267))</x:f>
        <x:v>0</x:v>
      </x:c>
      <x:c r="R185" t="n">
        <x:f>COUNTIF($E$2:$E$267,E185)</x:f>
        <x:v>12</x:v>
      </x:c>
      <x:c r="S185" t="n">
        <x:f>SUMIF($E$2:$E$267,E185,$J$2:$J$267)</x:f>
        <x:v>543.4309999999999</x:v>
      </x:c>
      <x:c r="T185" t="n">
        <x:f>IF(OR(NOT(ISNUMBER(Q185)),S185=0),"",Q185*('Conference pools'!$H$2/R185+'Conference pools'!$H$3*J185/S185))</x:f>
        <x:v>0</x:v>
      </x:c>
      <x:c r="U185" t="n">
        <x:f>IF(OR(NOT(ISNUMBER(P185)),NOT(ISNUMBER(T185))),"",T185-P185)</x:f>
        <x:v>0</x:v>
      </x:c>
      <x:c r="V185" s="8" t="str">
        <x:f>IF(OR(NOT(ISNUMBER(U185)),P185=0),"",U185/P185)</x:f>
      </x:c>
      <x:c r="W185" t="str">
        <x:f>IF(OR(NOT(ISNUMBER(T185)),NOT(ISNUMBER(K185))),"",T185-K185)</x:f>
      </x:c>
      <x:c r="X185" t="n">
        <x:f>IF(NOT(ISNUMBER(M185)),"",M185/N185)</x:f>
        <x:v>0</x:v>
      </x:c>
    </x:row>
    <x:row r="186">
      <x:c r="A186" t="str">
        <x:v>GEORGETOWN</x:v>
      </x:c>
      <x:c r="B186" t="str">
        <x:v>Georgetown University</x:v>
      </x:c>
      <x:c r="C186" t="str">
        <x:v>FCS</x:v>
      </x:c>
      <x:c r="D186" t="str">
        <x:v>Patriot League</x:v>
      </x:c>
      <x:c r="E186" t="str">
        <x:v>Championship Southeast</x:v>
      </x:c>
      <x:c r="F186" t="n">
        <x:v>22</x:v>
      </x:c>
      <x:c r="G186" t="n">
        <x:v>0.4738</x:v>
      </x:c>
      <x:c r="H186" t="n">
        <x:v>0.4247</x:v>
      </x:c>
      <x:c r="I186" t="n">
        <x:v>36.4272</x:v>
      </x:c>
      <x:c r="J186" t="n">
        <x:f>IF(ISNUMBER(I186),MAX(1,I186),1)</x:f>
        <x:v>36.4272</x:v>
      </x:c>
      <x:c r="K186"/>
      <x:c r="L186" t="str">
        <x:v>NOT VERIFIED</x:v>
      </x:c>
      <x:c r="M186" t="n">
        <x:f>IF(COUNTIFS('Conference pools'!$A$2:$A$25,D186,'Conference pools'!$D$2:$D$25,"&gt;=0")=0,"",SUMIF('Conference pools'!$A$2:$A$25,D186,'Conference pools'!$D$2:$D$25))</x:f>
        <x:v>0</x:v>
      </x:c>
      <x:c r="N186" t="n">
        <x:f>COUNTIF($D$2:$D$267,D186)</x:f>
        <x:v>10</x:v>
      </x:c>
      <x:c r="O186" t="n">
        <x:f>SUMIF($D$2:$D$267,D186,$J$2:$J$267)</x:f>
        <x:v>431.0682</x:v>
      </x:c>
      <x:c r="P186" t="n">
        <x:f>IF(OR(NOT(ISNUMBER(M186)),O186=0),"",M186*('Conference pools'!$H$2/N186+'Conference pools'!$H$3*J186/O186))</x:f>
        <x:v>0</x:v>
      </x:c>
      <x:c r="Q186" t="n">
        <x:f>IF(COUNTIFS($E$2:$E$267,E186,$X$2:$X$267,"&lt;&gt;")&lt;&gt;COUNTIF($E$2:$E$267,E186),"",SUMIF($E$2:$E$267,E186,$X$2:$X$267))</x:f>
        <x:v>0</x:v>
      </x:c>
      <x:c r="R186" t="n">
        <x:f>COUNTIF($E$2:$E$267,E186)</x:f>
        <x:v>12</x:v>
      </x:c>
      <x:c r="S186" t="n">
        <x:f>SUMIF($E$2:$E$267,E186,$J$2:$J$267)</x:f>
        <x:v>543.4309999999999</x:v>
      </x:c>
      <x:c r="T186" t="n">
        <x:f>IF(OR(NOT(ISNUMBER(Q186)),S186=0),"",Q186*('Conference pools'!$H$2/R186+'Conference pools'!$H$3*J186/S186))</x:f>
        <x:v>0</x:v>
      </x:c>
      <x:c r="U186" t="n">
        <x:f>IF(OR(NOT(ISNUMBER(P186)),NOT(ISNUMBER(T186))),"",T186-P186)</x:f>
        <x:v>0</x:v>
      </x:c>
      <x:c r="V186" s="8" t="str">
        <x:f>IF(OR(NOT(ISNUMBER(U186)),P186=0),"",U186/P186)</x:f>
      </x:c>
      <x:c r="W186" t="str">
        <x:f>IF(OR(NOT(ISNUMBER(T186)),NOT(ISNUMBER(K186))),"",T186-K186)</x:f>
      </x:c>
      <x:c r="X186" t="n">
        <x:f>IF(NOT(ISNUMBER(M186)),"",M186/N186)</x:f>
        <x:v>0</x:v>
      </x:c>
    </x:row>
    <x:row r="187">
      <x:c r="A187" t="str">
        <x:v>SOUTH_DAKOTA_STATE</x:v>
      </x:c>
      <x:c r="B187" t="str">
        <x:v>South Dakota State University</x:v>
      </x:c>
      <x:c r="C187" t="str">
        <x:v>FCS</x:v>
      </x:c>
      <x:c r="D187" t="str">
        <x:v>Missouri Valley Football Conference</x:v>
      </x:c>
      <x:c r="E187" t="str">
        <x:v>Championship West</x:v>
      </x:c>
      <x:c r="F187" t="n">
        <x:v>1</x:v>
      </x:c>
      <x:c r="G187" t="n">
        <x:v>0.7913</x:v>
      </x:c>
      <x:c r="H187" t="n">
        <x:v>0.5833</x:v>
      </x:c>
      <x:c r="I187" t="n">
        <x:v>64.3463</x:v>
      </x:c>
      <x:c r="J187" t="n">
        <x:f>IF(ISNUMBER(I187),MAX(1,I187),1)</x:f>
        <x:v>64.3463</x:v>
      </x:c>
      <x:c r="K187"/>
      <x:c r="L187" t="str">
        <x:v>NOT VERIFIED</x:v>
      </x:c>
      <x:c r="M187" t="n">
        <x:f>IF(COUNTIFS('Conference pools'!$A$2:$A$25,D187,'Conference pools'!$D$2:$D$25,"&gt;=0")=0,"",SUMIF('Conference pools'!$A$2:$A$25,D187,'Conference pools'!$D$2:$D$25))</x:f>
        <x:v>0</x:v>
      </x:c>
      <x:c r="N187" t="n">
        <x:f>COUNTIF($D$2:$D$267,D187)</x:f>
        <x:v>9</x:v>
      </x:c>
      <x:c r="O187" t="n">
        <x:f>SUMIF($D$2:$D$267,D187,$J$2:$J$267)</x:f>
        <x:v>406.3407</x:v>
      </x:c>
      <x:c r="P187" t="n">
        <x:f>IF(OR(NOT(ISNUMBER(M187)),O187=0),"",M187*('Conference pools'!$H$2/N187+'Conference pools'!$H$3*J187/O187))</x:f>
        <x:v>0</x:v>
      </x:c>
      <x:c r="Q187" t="n">
        <x:f>IF(COUNTIFS($E$2:$E$267,E187,$X$2:$X$267,"&lt;&gt;")&lt;&gt;COUNTIF($E$2:$E$267,E187),"",SUMIF($E$2:$E$267,E187,$X$2:$X$267))</x:f>
        <x:v>0</x:v>
      </x:c>
      <x:c r="R187" t="n">
        <x:f>COUNTIF($E$2:$E$267,E187)</x:f>
        <x:v>12</x:v>
      </x:c>
      <x:c r="S187" t="n">
        <x:f>SUMIF($E$2:$E$267,E187,$J$2:$J$267)</x:f>
        <x:v>604.8823</x:v>
      </x:c>
      <x:c r="T187" t="n">
        <x:f>IF(OR(NOT(ISNUMBER(Q187)),S187=0),"",Q187*('Conference pools'!$H$2/R187+'Conference pools'!$H$3*J187/S187))</x:f>
        <x:v>0</x:v>
      </x:c>
      <x:c r="U187" t="n">
        <x:f>IF(OR(NOT(ISNUMBER(P187)),NOT(ISNUMBER(T187))),"",T187-P187)</x:f>
        <x:v>0</x:v>
      </x:c>
      <x:c r="V187" s="8" t="str">
        <x:f>IF(OR(NOT(ISNUMBER(U187)),P187=0),"",U187/P187)</x:f>
      </x:c>
      <x:c r="W187" t="str">
        <x:f>IF(OR(NOT(ISNUMBER(T187)),NOT(ISNUMBER(K187))),"",T187-K187)</x:f>
      </x:c>
      <x:c r="X187" t="n">
        <x:f>IF(NOT(ISNUMBER(M187)),"",M187/N187)</x:f>
        <x:v>0</x:v>
      </x:c>
    </x:row>
    <x:row r="188">
      <x:c r="A188" t="str">
        <x:v>MONTANA</x:v>
      </x:c>
      <x:c r="B188" t="str">
        <x:v>University of Montana</x:v>
      </x:c>
      <x:c r="C188" t="str">
        <x:v>FCS</x:v>
      </x:c>
      <x:c r="D188" t="str">
        <x:v>Big Sky Conference</x:v>
      </x:c>
      <x:c r="E188" t="str">
        <x:v>Championship West</x:v>
      </x:c>
      <x:c r="F188" t="n">
        <x:v>2</x:v>
      </x:c>
      <x:c r="G188" t="n">
        <x:v>0.7929</x:v>
      </x:c>
      <x:c r="H188" t="n">
        <x:v>0.5276</x:v>
      </x:c>
      <x:c r="I188" t="n">
        <x:v>59.6751</x:v>
      </x:c>
      <x:c r="J188" t="n">
        <x:f>IF(ISNUMBER(I188),MAX(1,I188),1)</x:f>
        <x:v>59.6751</x:v>
      </x:c>
      <x:c r="K188"/>
      <x:c r="L188" t="str">
        <x:v>NOT VERIFIED</x:v>
      </x:c>
      <x:c r="M188" t="n">
        <x:f>IF(COUNTIFS('Conference pools'!$A$2:$A$25,D188,'Conference pools'!$D$2:$D$25,"&gt;=0")=0,"",SUMIF('Conference pools'!$A$2:$A$25,D188,'Conference pools'!$D$2:$D$25))</x:f>
        <x:v>0</x:v>
      </x:c>
      <x:c r="N188" t="n">
        <x:f>COUNTIF($D$2:$D$267,D188)</x:f>
        <x:v>13</x:v>
      </x:c>
      <x:c r="O188" t="n">
        <x:f>SUMIF($D$2:$D$267,D188,$J$2:$J$267)</x:f>
        <x:v>550.8658999999999</x:v>
      </x:c>
      <x:c r="P188" t="n">
        <x:f>IF(OR(NOT(ISNUMBER(M188)),O188=0),"",M188*('Conference pools'!$H$2/N188+'Conference pools'!$H$3*J188/O188))</x:f>
        <x:v>0</x:v>
      </x:c>
      <x:c r="Q188" t="n">
        <x:f>IF(COUNTIFS($E$2:$E$267,E188,$X$2:$X$267,"&lt;&gt;")&lt;&gt;COUNTIF($E$2:$E$267,E188),"",SUMIF($E$2:$E$267,E188,$X$2:$X$267))</x:f>
        <x:v>0</x:v>
      </x:c>
      <x:c r="R188" t="n">
        <x:f>COUNTIF($E$2:$E$267,E188)</x:f>
        <x:v>12</x:v>
      </x:c>
      <x:c r="S188" t="n">
        <x:f>SUMIF($E$2:$E$267,E188,$J$2:$J$267)</x:f>
        <x:v>604.8823</x:v>
      </x:c>
      <x:c r="T188" t="n">
        <x:f>IF(OR(NOT(ISNUMBER(Q188)),S188=0),"",Q188*('Conference pools'!$H$2/R188+'Conference pools'!$H$3*J188/S188))</x:f>
        <x:v>0</x:v>
      </x:c>
      <x:c r="U188" t="n">
        <x:f>IF(OR(NOT(ISNUMBER(P188)),NOT(ISNUMBER(T188))),"",T188-P188)</x:f>
        <x:v>0</x:v>
      </x:c>
      <x:c r="V188" s="8" t="str">
        <x:f>IF(OR(NOT(ISNUMBER(U188)),P188=0),"",U188/P188)</x:f>
      </x:c>
      <x:c r="W188" t="str">
        <x:f>IF(OR(NOT(ISNUMBER(T188)),NOT(ISNUMBER(K188))),"",T188-K188)</x:f>
      </x:c>
      <x:c r="X188" t="n">
        <x:f>IF(NOT(ISNUMBER(M188)),"",M188/N188)</x:f>
        <x:v>0</x:v>
      </x:c>
    </x:row>
    <x:row r="189">
      <x:c r="A189" t="str">
        <x:v>SOUTH_DAKOTA</x:v>
      </x:c>
      <x:c r="B189" t="str">
        <x:v>University of South Dakota</x:v>
      </x:c>
      <x:c r="C189" t="str">
        <x:v>FCS</x:v>
      </x:c>
      <x:c r="D189" t="str">
        <x:v>Missouri Valley Football Conference</x:v>
      </x:c>
      <x:c r="E189" t="str">
        <x:v>Championship West</x:v>
      </x:c>
      <x:c r="F189" t="n">
        <x:v>3</x:v>
      </x:c>
      <x:c r="G189" t="n">
        <x:v>0.7311</x:v>
      </x:c>
      <x:c r="H189" t="n">
        <x:v>0.5584</x:v>
      </x:c>
      <x:c r="I189" t="n">
        <x:v>55.2065</x:v>
      </x:c>
      <x:c r="J189" t="n">
        <x:f>IF(ISNUMBER(I189),MAX(1,I189),1)</x:f>
        <x:v>55.2065</x:v>
      </x:c>
      <x:c r="K189"/>
      <x:c r="L189" t="str">
        <x:v>NOT VERIFIED</x:v>
      </x:c>
      <x:c r="M189" t="n">
        <x:f>IF(COUNTIFS('Conference pools'!$A$2:$A$25,D189,'Conference pools'!$D$2:$D$25,"&gt;=0")=0,"",SUMIF('Conference pools'!$A$2:$A$25,D189,'Conference pools'!$D$2:$D$25))</x:f>
        <x:v>0</x:v>
      </x:c>
      <x:c r="N189" t="n">
        <x:f>COUNTIF($D$2:$D$267,D189)</x:f>
        <x:v>9</x:v>
      </x:c>
      <x:c r="O189" t="n">
        <x:f>SUMIF($D$2:$D$267,D189,$J$2:$J$267)</x:f>
        <x:v>406.3407</x:v>
      </x:c>
      <x:c r="P189" t="n">
        <x:f>IF(OR(NOT(ISNUMBER(M189)),O189=0),"",M189*('Conference pools'!$H$2/N189+'Conference pools'!$H$3*J189/O189))</x:f>
        <x:v>0</x:v>
      </x:c>
      <x:c r="Q189" t="n">
        <x:f>IF(COUNTIFS($E$2:$E$267,E189,$X$2:$X$267,"&lt;&gt;")&lt;&gt;COUNTIF($E$2:$E$267,E189),"",SUMIF($E$2:$E$267,E189,$X$2:$X$267))</x:f>
        <x:v>0</x:v>
      </x:c>
      <x:c r="R189" t="n">
        <x:f>COUNTIF($E$2:$E$267,E189)</x:f>
        <x:v>12</x:v>
      </x:c>
      <x:c r="S189" t="n">
        <x:f>SUMIF($E$2:$E$267,E189,$J$2:$J$267)</x:f>
        <x:v>604.8823</x:v>
      </x:c>
      <x:c r="T189" t="n">
        <x:f>IF(OR(NOT(ISNUMBER(Q189)),S189=0),"",Q189*('Conference pools'!$H$2/R189+'Conference pools'!$H$3*J189/S189))</x:f>
        <x:v>0</x:v>
      </x:c>
      <x:c r="U189" t="n">
        <x:f>IF(OR(NOT(ISNUMBER(P189)),NOT(ISNUMBER(T189))),"",T189-P189)</x:f>
        <x:v>0</x:v>
      </x:c>
      <x:c r="V189" s="8" t="str">
        <x:f>IF(OR(NOT(ISNUMBER(U189)),P189=0),"",U189/P189)</x:f>
      </x:c>
      <x:c r="W189" t="str">
        <x:f>IF(OR(NOT(ISNUMBER(T189)),NOT(ISNUMBER(K189))),"",T189-K189)</x:f>
      </x:c>
      <x:c r="X189" t="n">
        <x:f>IF(NOT(ISNUMBER(M189)),"",M189/N189)</x:f>
        <x:v>0</x:v>
      </x:c>
    </x:row>
    <x:row r="190">
      <x:c r="A190" t="str">
        <x:v>DRAKE</x:v>
      </x:c>
      <x:c r="B190" t="str">
        <x:v>Drake University</x:v>
      </x:c>
      <x:c r="C190" t="str">
        <x:v>FCS</x:v>
      </x:c>
      <x:c r="D190" t="str">
        <x:v>Pioneer Football League</x:v>
      </x:c>
      <x:c r="E190" t="str">
        <x:v>Championship West</x:v>
      </x:c>
      <x:c r="F190" t="n">
        <x:v>7</x:v>
      </x:c>
      <x:c r="G190" t="n">
        <x:v>0.6864</x:v>
      </x:c>
      <x:c r="H190" t="n">
        <x:v>0.5267</x:v>
      </x:c>
      <x:c r="I190" t="n">
        <x:v>48.2647</x:v>
      </x:c>
      <x:c r="J190" t="n">
        <x:f>IF(ISNUMBER(I190),MAX(1,I190),1)</x:f>
        <x:v>48.2647</x:v>
      </x:c>
      <x:c r="K190"/>
      <x:c r="L190" t="str">
        <x:v>NOT VERIFIED</x:v>
      </x:c>
      <x:c r="M190" t="n">
        <x:f>IF(COUNTIFS('Conference pools'!$A$2:$A$25,D190,'Conference pools'!$D$2:$D$25,"&gt;=0")=0,"",SUMIF('Conference pools'!$A$2:$A$25,D190,'Conference pools'!$D$2:$D$25))</x:f>
        <x:v>0</x:v>
      </x:c>
      <x:c r="N190" t="n">
        <x:f>COUNTIF($D$2:$D$267,D190)</x:f>
        <x:v>11</x:v>
      </x:c>
      <x:c r="O190" t="n">
        <x:f>SUMIF($D$2:$D$267,D190,$J$2:$J$267)</x:f>
        <x:v>418.72029999999995</x:v>
      </x:c>
      <x:c r="P190" t="n">
        <x:f>IF(OR(NOT(ISNUMBER(M190)),O190=0),"",M190*('Conference pools'!$H$2/N190+'Conference pools'!$H$3*J190/O190))</x:f>
        <x:v>0</x:v>
      </x:c>
      <x:c r="Q190" t="n">
        <x:f>IF(COUNTIFS($E$2:$E$267,E190,$X$2:$X$267,"&lt;&gt;")&lt;&gt;COUNTIF($E$2:$E$267,E190),"",SUMIF($E$2:$E$267,E190,$X$2:$X$267))</x:f>
        <x:v>0</x:v>
      </x:c>
      <x:c r="R190" t="n">
        <x:f>COUNTIF($E$2:$E$267,E190)</x:f>
        <x:v>12</x:v>
      </x:c>
      <x:c r="S190" t="n">
        <x:f>SUMIF($E$2:$E$267,E190,$J$2:$J$267)</x:f>
        <x:v>604.8823</x:v>
      </x:c>
      <x:c r="T190" t="n">
        <x:f>IF(OR(NOT(ISNUMBER(Q190)),S190=0),"",Q190*('Conference pools'!$H$2/R190+'Conference pools'!$H$3*J190/S190))</x:f>
        <x:v>0</x:v>
      </x:c>
      <x:c r="U190" t="n">
        <x:f>IF(OR(NOT(ISNUMBER(P190)),NOT(ISNUMBER(T190))),"",T190-P190)</x:f>
        <x:v>0</x:v>
      </x:c>
      <x:c r="V190" s="8" t="str">
        <x:f>IF(OR(NOT(ISNUMBER(U190)),P190=0),"",U190/P190)</x:f>
      </x:c>
      <x:c r="W190" t="str">
        <x:f>IF(OR(NOT(ISNUMBER(T190)),NOT(ISNUMBER(K190))),"",T190-K190)</x:f>
      </x:c>
      <x:c r="X190" t="n">
        <x:f>IF(NOT(ISNUMBER(M190)),"",M190/N190)</x:f>
        <x:v>0</x:v>
      </x:c>
    </x:row>
    <x:row r="191">
      <x:c r="A191" t="str">
        <x:v>MONTANA_STATE</x:v>
      </x:c>
      <x:c r="B191" t="str">
        <x:v>Montana State University</x:v>
      </x:c>
      <x:c r="C191" t="str">
        <x:v>FCS</x:v>
      </x:c>
      <x:c r="D191" t="str">
        <x:v>Big Sky Conference</x:v>
      </x:c>
      <x:c r="E191" t="str">
        <x:v>Championship West</x:v>
      </x:c>
      <x:c r="F191" t="n">
        <x:v>1</x:v>
      </x:c>
      <x:c r="G191" t="n">
        <x:v>0.8558</x:v>
      </x:c>
      <x:c r="H191" t="n">
        <x:v>0.5502</x:v>
      </x:c>
      <x:c r="I191" t="n">
        <x:v>64.5246</x:v>
      </x:c>
      <x:c r="J191" t="n">
        <x:f>IF(ISNUMBER(I191),MAX(1,I191),1)</x:f>
        <x:v>64.5246</x:v>
      </x:c>
      <x:c r="K191"/>
      <x:c r="L191" t="str">
        <x:v>NOT VERIFIED</x:v>
      </x:c>
      <x:c r="M191" t="n">
        <x:f>IF(COUNTIFS('Conference pools'!$A$2:$A$25,D191,'Conference pools'!$D$2:$D$25,"&gt;=0")=0,"",SUMIF('Conference pools'!$A$2:$A$25,D191,'Conference pools'!$D$2:$D$25))</x:f>
        <x:v>0</x:v>
      </x:c>
      <x:c r="N191" t="n">
        <x:f>COUNTIF($D$2:$D$267,D191)</x:f>
        <x:v>13</x:v>
      </x:c>
      <x:c r="O191" t="n">
        <x:f>SUMIF($D$2:$D$267,D191,$J$2:$J$267)</x:f>
        <x:v>550.8658999999999</x:v>
      </x:c>
      <x:c r="P191" t="n">
        <x:f>IF(OR(NOT(ISNUMBER(M191)),O191=0),"",M191*('Conference pools'!$H$2/N191+'Conference pools'!$H$3*J191/O191))</x:f>
        <x:v>0</x:v>
      </x:c>
      <x:c r="Q191" t="n">
        <x:f>IF(COUNTIFS($E$2:$E$267,E191,$X$2:$X$267,"&lt;&gt;")&lt;&gt;COUNTIF($E$2:$E$267,E191),"",SUMIF($E$2:$E$267,E191,$X$2:$X$267))</x:f>
        <x:v>0</x:v>
      </x:c>
      <x:c r="R191" t="n">
        <x:f>COUNTIF($E$2:$E$267,E191)</x:f>
        <x:v>12</x:v>
      </x:c>
      <x:c r="S191" t="n">
        <x:f>SUMIF($E$2:$E$267,E191,$J$2:$J$267)</x:f>
        <x:v>604.8823</x:v>
      </x:c>
      <x:c r="T191" t="n">
        <x:f>IF(OR(NOT(ISNUMBER(Q191)),S191=0),"",Q191*('Conference pools'!$H$2/R191+'Conference pools'!$H$3*J191/S191))</x:f>
        <x:v>0</x:v>
      </x:c>
      <x:c r="U191" t="n">
        <x:f>IF(OR(NOT(ISNUMBER(P191)),NOT(ISNUMBER(T191))),"",T191-P191)</x:f>
        <x:v>0</x:v>
      </x:c>
      <x:c r="V191" s="8" t="str">
        <x:f>IF(OR(NOT(ISNUMBER(U191)),P191=0),"",U191/P191)</x:f>
      </x:c>
      <x:c r="W191" t="str">
        <x:f>IF(OR(NOT(ISNUMBER(T191)),NOT(ISNUMBER(K191))),"",T191-K191)</x:f>
      </x:c>
      <x:c r="X191" t="n">
        <x:f>IF(NOT(ISNUMBER(M191)),"",M191/N191)</x:f>
        <x:v>0</x:v>
      </x:c>
    </x:row>
    <x:row r="192">
      <x:c r="A192" t="str">
        <x:v>UC_DAVIS</x:v>
      </x:c>
      <x:c r="B192" t="str">
        <x:v>University of California Davis</x:v>
      </x:c>
      <x:c r="C192" t="str">
        <x:v>FCS</x:v>
      </x:c>
      <x:c r="D192" t="str">
        <x:v>Big Sky Conference</x:v>
      </x:c>
      <x:c r="E192" t="str">
        <x:v>Championship West</x:v>
      </x:c>
      <x:c r="F192" t="n">
        <x:v>4</x:v>
      </x:c>
      <x:c r="G192" t="n">
        <x:v>0.7153</x:v>
      </x:c>
      <x:c r="H192" t="n">
        <x:v>0.487</x:v>
      </x:c>
      <x:c r="I192" t="n">
        <x:v>53.1496</x:v>
      </x:c>
      <x:c r="J192" t="n">
        <x:f>IF(ISNUMBER(I192),MAX(1,I192),1)</x:f>
        <x:v>53.1496</x:v>
      </x:c>
      <x:c r="K192"/>
      <x:c r="L192" t="str">
        <x:v>NOT VERIFIED</x:v>
      </x:c>
      <x:c r="M192" t="n">
        <x:f>IF(COUNTIFS('Conference pools'!$A$2:$A$25,D192,'Conference pools'!$D$2:$D$25,"&gt;=0")=0,"",SUMIF('Conference pools'!$A$2:$A$25,D192,'Conference pools'!$D$2:$D$25))</x:f>
        <x:v>0</x:v>
      </x:c>
      <x:c r="N192" t="n">
        <x:f>COUNTIF($D$2:$D$267,D192)</x:f>
        <x:v>13</x:v>
      </x:c>
      <x:c r="O192" t="n">
        <x:f>SUMIF($D$2:$D$267,D192,$J$2:$J$267)</x:f>
        <x:v>550.8658999999999</x:v>
      </x:c>
      <x:c r="P192" t="n">
        <x:f>IF(OR(NOT(ISNUMBER(M192)),O192=0),"",M192*('Conference pools'!$H$2/N192+'Conference pools'!$H$3*J192/O192))</x:f>
        <x:v>0</x:v>
      </x:c>
      <x:c r="Q192" t="n">
        <x:f>IF(COUNTIFS($E$2:$E$267,E192,$X$2:$X$267,"&lt;&gt;")&lt;&gt;COUNTIF($E$2:$E$267,E192),"",SUMIF($E$2:$E$267,E192,$X$2:$X$267))</x:f>
        <x:v>0</x:v>
      </x:c>
      <x:c r="R192" t="n">
        <x:f>COUNTIF($E$2:$E$267,E192)</x:f>
        <x:v>12</x:v>
      </x:c>
      <x:c r="S192" t="n">
        <x:f>SUMIF($E$2:$E$267,E192,$J$2:$J$267)</x:f>
        <x:v>604.8823</x:v>
      </x:c>
      <x:c r="T192" t="n">
        <x:f>IF(OR(NOT(ISNUMBER(Q192)),S192=0),"",Q192*('Conference pools'!$H$2/R192+'Conference pools'!$H$3*J192/S192))</x:f>
        <x:v>0</x:v>
      </x:c>
      <x:c r="U192" t="n">
        <x:f>IF(OR(NOT(ISNUMBER(P192)),NOT(ISNUMBER(T192))),"",T192-P192)</x:f>
        <x:v>0</x:v>
      </x:c>
      <x:c r="V192" s="8" t="str">
        <x:f>IF(OR(NOT(ISNUMBER(U192)),P192=0),"",U192/P192)</x:f>
      </x:c>
      <x:c r="W192" t="str">
        <x:f>IF(OR(NOT(ISNUMBER(T192)),NOT(ISNUMBER(K192))),"",T192-K192)</x:f>
      </x:c>
      <x:c r="X192" t="n">
        <x:f>IF(NOT(ISNUMBER(M192)),"",M192/N192)</x:f>
        <x:v>0</x:v>
      </x:c>
    </x:row>
    <x:row r="193">
      <x:c r="A193" t="str">
        <x:v>NORTH_DAKOTA</x:v>
      </x:c>
      <x:c r="B193" t="str">
        <x:v>University of North Dakota</x:v>
      </x:c>
      <x:c r="C193" t="str">
        <x:v>FCS</x:v>
      </x:c>
      <x:c r="D193" t="str">
        <x:v>Missouri Valley Football Conference</x:v>
      </x:c>
      <x:c r="E193" t="str">
        <x:v>Championship West</x:v>
      </x:c>
      <x:c r="F193" t="n">
        <x:v>7</x:v>
      </x:c>
      <x:c r="G193" t="n">
        <x:v>0.5242</x:v>
      </x:c>
      <x:c r="H193" t="n">
        <x:v>0.5341</x:v>
      </x:c>
      <x:c r="I193" t="n">
        <x:v>48.2538</x:v>
      </x:c>
      <x:c r="J193" t="n">
        <x:f>IF(ISNUMBER(I193),MAX(1,I193),1)</x:f>
        <x:v>48.2538</x:v>
      </x:c>
      <x:c r="K193"/>
      <x:c r="L193" t="str">
        <x:v>NOT VERIFIED</x:v>
      </x:c>
      <x:c r="M193" t="n">
        <x:f>IF(COUNTIFS('Conference pools'!$A$2:$A$25,D193,'Conference pools'!$D$2:$D$25,"&gt;=0")=0,"",SUMIF('Conference pools'!$A$2:$A$25,D193,'Conference pools'!$D$2:$D$25))</x:f>
        <x:v>0</x:v>
      </x:c>
      <x:c r="N193" t="n">
        <x:f>COUNTIF($D$2:$D$267,D193)</x:f>
        <x:v>9</x:v>
      </x:c>
      <x:c r="O193" t="n">
        <x:f>SUMIF($D$2:$D$267,D193,$J$2:$J$267)</x:f>
        <x:v>406.3407</x:v>
      </x:c>
      <x:c r="P193" t="n">
        <x:f>IF(OR(NOT(ISNUMBER(M193)),O193=0),"",M193*('Conference pools'!$H$2/N193+'Conference pools'!$H$3*J193/O193))</x:f>
        <x:v>0</x:v>
      </x:c>
      <x:c r="Q193" t="n">
        <x:f>IF(COUNTIFS($E$2:$E$267,E193,$X$2:$X$267,"&lt;&gt;")&lt;&gt;COUNTIF($E$2:$E$267,E193),"",SUMIF($E$2:$E$267,E193,$X$2:$X$267))</x:f>
        <x:v>0</x:v>
      </x:c>
      <x:c r="R193" t="n">
        <x:f>COUNTIF($E$2:$E$267,E193)</x:f>
        <x:v>12</x:v>
      </x:c>
      <x:c r="S193" t="n">
        <x:f>SUMIF($E$2:$E$267,E193,$J$2:$J$267)</x:f>
        <x:v>604.8823</x:v>
      </x:c>
      <x:c r="T193" t="n">
        <x:f>IF(OR(NOT(ISNUMBER(Q193)),S193=0),"",Q193*('Conference pools'!$H$2/R193+'Conference pools'!$H$3*J193/S193))</x:f>
        <x:v>0</x:v>
      </x:c>
      <x:c r="U193" t="n">
        <x:f>IF(OR(NOT(ISNUMBER(P193)),NOT(ISNUMBER(T193))),"",T193-P193)</x:f>
        <x:v>0</x:v>
      </x:c>
      <x:c r="V193" s="8" t="str">
        <x:f>IF(OR(NOT(ISNUMBER(U193)),P193=0),"",U193/P193)</x:f>
      </x:c>
      <x:c r="W193" t="str">
        <x:f>IF(OR(NOT(ISNUMBER(T193)),NOT(ISNUMBER(K193))),"",T193-K193)</x:f>
      </x:c>
      <x:c r="X193" t="n">
        <x:f>IF(NOT(ISNUMBER(M193)),"",M193/N193)</x:f>
        <x:v>0</x:v>
      </x:c>
    </x:row>
    <x:row r="194">
      <x:c r="A194" t="str">
        <x:v>IDAHO</x:v>
      </x:c>
      <x:c r="B194" t="str">
        <x:v>University of Idaho</x:v>
      </x:c>
      <x:c r="C194" t="str">
        <x:v>FCS</x:v>
      </x:c>
      <x:c r="D194" t="str">
        <x:v>Big Sky Conference</x:v>
      </x:c>
      <x:c r="E194" t="str">
        <x:v>Championship West</x:v>
      </x:c>
      <x:c r="F194" t="n">
        <x:v>7</x:v>
      </x:c>
      <x:c r="G194" t="n">
        <x:v>0.5666</x:v>
      </x:c>
      <x:c r="H194" t="n">
        <x:v>0.5002</x:v>
      </x:c>
      <x:c r="I194" t="n">
        <x:v>48.0691</x:v>
      </x:c>
      <x:c r="J194" t="n">
        <x:f>IF(ISNUMBER(I194),MAX(1,I194),1)</x:f>
        <x:v>48.0691</x:v>
      </x:c>
      <x:c r="K194"/>
      <x:c r="L194" t="str">
        <x:v>NOT VERIFIED</x:v>
      </x:c>
      <x:c r="M194" t="n">
        <x:f>IF(COUNTIFS('Conference pools'!$A$2:$A$25,D194,'Conference pools'!$D$2:$D$25,"&gt;=0")=0,"",SUMIF('Conference pools'!$A$2:$A$25,D194,'Conference pools'!$D$2:$D$25))</x:f>
        <x:v>0</x:v>
      </x:c>
      <x:c r="N194" t="n">
        <x:f>COUNTIF($D$2:$D$267,D194)</x:f>
        <x:v>13</x:v>
      </x:c>
      <x:c r="O194" t="n">
        <x:f>SUMIF($D$2:$D$267,D194,$J$2:$J$267)</x:f>
        <x:v>550.8658999999999</x:v>
      </x:c>
      <x:c r="P194" t="n">
        <x:f>IF(OR(NOT(ISNUMBER(M194)),O194=0),"",M194*('Conference pools'!$H$2/N194+'Conference pools'!$H$3*J194/O194))</x:f>
        <x:v>0</x:v>
      </x:c>
      <x:c r="Q194" t="n">
        <x:f>IF(COUNTIFS($E$2:$E$267,E194,$X$2:$X$267,"&lt;&gt;")&lt;&gt;COUNTIF($E$2:$E$267,E194),"",SUMIF($E$2:$E$267,E194,$X$2:$X$267))</x:f>
        <x:v>0</x:v>
      </x:c>
      <x:c r="R194" t="n">
        <x:f>COUNTIF($E$2:$E$267,E194)</x:f>
        <x:v>12</x:v>
      </x:c>
      <x:c r="S194" t="n">
        <x:f>SUMIF($E$2:$E$267,E194,$J$2:$J$267)</x:f>
        <x:v>604.8823</x:v>
      </x:c>
      <x:c r="T194" t="n">
        <x:f>IF(OR(NOT(ISNUMBER(Q194)),S194=0),"",Q194*('Conference pools'!$H$2/R194+'Conference pools'!$H$3*J194/S194))</x:f>
        <x:v>0</x:v>
      </x:c>
      <x:c r="U194" t="n">
        <x:f>IF(OR(NOT(ISNUMBER(P194)),NOT(ISNUMBER(T194))),"",T194-P194)</x:f>
        <x:v>0</x:v>
      </x:c>
      <x:c r="V194" s="8" t="str">
        <x:f>IF(OR(NOT(ISNUMBER(U194)),P194=0),"",U194/P194)</x:f>
      </x:c>
      <x:c r="W194" t="str">
        <x:f>IF(OR(NOT(ISNUMBER(T194)),NOT(ISNUMBER(K194))),"",T194-K194)</x:f>
      </x:c>
      <x:c r="X194" t="n">
        <x:f>IF(NOT(ISNUMBER(M194)),"",M194/N194)</x:f>
        <x:v>0</x:v>
      </x:c>
    </x:row>
    <x:row r="195">
      <x:c r="A195" t="str">
        <x:v>SOUTHERN_UTAH</x:v>
      </x:c>
      <x:c r="B195" t="str">
        <x:v>Southern Utah University</x:v>
      </x:c>
      <x:c r="C195" t="str">
        <x:v>FCS</x:v>
      </x:c>
      <x:c r="D195" t="str">
        <x:v>Big Sky Conference</x:v>
      </x:c>
      <x:c r="E195" t="str">
        <x:v>Championship West</x:v>
      </x:c>
      <x:c r="F195" t="n">
        <x:v>9</x:v>
      </x:c>
      <x:c r="G195" t="n">
        <x:v>0.5744</x:v>
      </x:c>
      <x:c r="H195" t="n">
        <x:v>0.4752</x:v>
      </x:c>
      <x:c r="I195" t="n">
        <x:v>45.875</x:v>
      </x:c>
      <x:c r="J195" t="n">
        <x:f>IF(ISNUMBER(I195),MAX(1,I195),1)</x:f>
        <x:v>45.875</x:v>
      </x:c>
      <x:c r="K195"/>
      <x:c r="L195" t="str">
        <x:v>NOT VERIFIED</x:v>
      </x:c>
      <x:c r="M195" t="n">
        <x:f>IF(COUNTIFS('Conference pools'!$A$2:$A$25,D195,'Conference pools'!$D$2:$D$25,"&gt;=0")=0,"",SUMIF('Conference pools'!$A$2:$A$25,D195,'Conference pools'!$D$2:$D$25))</x:f>
        <x:v>0</x:v>
      </x:c>
      <x:c r="N195" t="n">
        <x:f>COUNTIF($D$2:$D$267,D195)</x:f>
        <x:v>13</x:v>
      </x:c>
      <x:c r="O195" t="n">
        <x:f>SUMIF($D$2:$D$267,D195,$J$2:$J$267)</x:f>
        <x:v>550.8658999999999</x:v>
      </x:c>
      <x:c r="P195" t="n">
        <x:f>IF(OR(NOT(ISNUMBER(M195)),O195=0),"",M195*('Conference pools'!$H$2/N195+'Conference pools'!$H$3*J195/O195))</x:f>
        <x:v>0</x:v>
      </x:c>
      <x:c r="Q195" t="n">
        <x:f>IF(COUNTIFS($E$2:$E$267,E195,$X$2:$X$267,"&lt;&gt;")&lt;&gt;COUNTIF($E$2:$E$267,E195),"",SUMIF($E$2:$E$267,E195,$X$2:$X$267))</x:f>
        <x:v>0</x:v>
      </x:c>
      <x:c r="R195" t="n">
        <x:f>COUNTIF($E$2:$E$267,E195)</x:f>
        <x:v>12</x:v>
      </x:c>
      <x:c r="S195" t="n">
        <x:f>SUMIF($E$2:$E$267,E195,$J$2:$J$267)</x:f>
        <x:v>604.8823</x:v>
      </x:c>
      <x:c r="T195" t="n">
        <x:f>IF(OR(NOT(ISNUMBER(Q195)),S195=0),"",Q195*('Conference pools'!$H$2/R195+'Conference pools'!$H$3*J195/S195))</x:f>
        <x:v>0</x:v>
      </x:c>
      <x:c r="U195" t="n">
        <x:f>IF(OR(NOT(ISNUMBER(P195)),NOT(ISNUMBER(T195))),"",T195-P195)</x:f>
        <x:v>0</x:v>
      </x:c>
      <x:c r="V195" s="8" t="str">
        <x:f>IF(OR(NOT(ISNUMBER(U195)),P195=0),"",U195/P195)</x:f>
      </x:c>
      <x:c r="W195" t="str">
        <x:f>IF(OR(NOT(ISNUMBER(T195)),NOT(ISNUMBER(K195))),"",T195-K195)</x:f>
      </x:c>
      <x:c r="X195" t="n">
        <x:f>IF(NOT(ISNUMBER(M195)),"",M195/N195)</x:f>
        <x:v>0</x:v>
      </x:c>
    </x:row>
    <x:row r="196">
      <x:c r="A196" t="str">
        <x:v>WEBER_STATE</x:v>
      </x:c>
      <x:c r="B196" t="str">
        <x:v>Weber State University</x:v>
      </x:c>
      <x:c r="C196" t="str">
        <x:v>FCS</x:v>
      </x:c>
      <x:c r="D196" t="str">
        <x:v>Big Sky Conference</x:v>
      </x:c>
      <x:c r="E196" t="str">
        <x:v>Championship West</x:v>
      </x:c>
      <x:c r="F196" t="n">
        <x:v>16</x:v>
      </x:c>
      <x:c r="G196" t="n">
        <x:v>0.3836</x:v>
      </x:c>
      <x:c r="H196" t="n">
        <x:v>0.4912</x:v>
      </x:c>
      <x:c r="I196" t="n">
        <x:v>40.5225</x:v>
      </x:c>
      <x:c r="J196" t="n">
        <x:f>IF(ISNUMBER(I196),MAX(1,I196),1)</x:f>
        <x:v>40.5225</x:v>
      </x:c>
      <x:c r="K196"/>
      <x:c r="L196" t="str">
        <x:v>NOT VERIFIED</x:v>
      </x:c>
      <x:c r="M196" t="n">
        <x:f>IF(COUNTIFS('Conference pools'!$A$2:$A$25,D196,'Conference pools'!$D$2:$D$25,"&gt;=0")=0,"",SUMIF('Conference pools'!$A$2:$A$25,D196,'Conference pools'!$D$2:$D$25))</x:f>
        <x:v>0</x:v>
      </x:c>
      <x:c r="N196" t="n">
        <x:f>COUNTIF($D$2:$D$267,D196)</x:f>
        <x:v>13</x:v>
      </x:c>
      <x:c r="O196" t="n">
        <x:f>SUMIF($D$2:$D$267,D196,$J$2:$J$267)</x:f>
        <x:v>550.8658999999999</x:v>
      </x:c>
      <x:c r="P196" t="n">
        <x:f>IF(OR(NOT(ISNUMBER(M196)),O196=0),"",M196*('Conference pools'!$H$2/N196+'Conference pools'!$H$3*J196/O196))</x:f>
        <x:v>0</x:v>
      </x:c>
      <x:c r="Q196" t="n">
        <x:f>IF(COUNTIFS($E$2:$E$267,E196,$X$2:$X$267,"&lt;&gt;")&lt;&gt;COUNTIF($E$2:$E$267,E196),"",SUMIF($E$2:$E$267,E196,$X$2:$X$267))</x:f>
        <x:v>0</x:v>
      </x:c>
      <x:c r="R196" t="n">
        <x:f>COUNTIF($E$2:$E$267,E196)</x:f>
        <x:v>12</x:v>
      </x:c>
      <x:c r="S196" t="n">
        <x:f>SUMIF($E$2:$E$267,E196,$J$2:$J$267)</x:f>
        <x:v>604.8823</x:v>
      </x:c>
      <x:c r="T196" t="n">
        <x:f>IF(OR(NOT(ISNUMBER(Q196)),S196=0),"",Q196*('Conference pools'!$H$2/R196+'Conference pools'!$H$3*J196/S196))</x:f>
        <x:v>0</x:v>
      </x:c>
      <x:c r="U196" t="n">
        <x:f>IF(OR(NOT(ISNUMBER(P196)),NOT(ISNUMBER(T196))),"",T196-P196)</x:f>
        <x:v>0</x:v>
      </x:c>
      <x:c r="V196" s="8" t="str">
        <x:f>IF(OR(NOT(ISNUMBER(U196)),P196=0),"",U196/P196)</x:f>
      </x:c>
      <x:c r="W196" t="str">
        <x:f>IF(OR(NOT(ISNUMBER(T196)),NOT(ISNUMBER(K196))),"",T196-K196)</x:f>
      </x:c>
      <x:c r="X196" t="n">
        <x:f>IF(NOT(ISNUMBER(M196)),"",M196/N196)</x:f>
        <x:v>0</x:v>
      </x:c>
    </x:row>
    <x:row r="197">
      <x:c r="A197" t="str">
        <x:v>NORTHERN_ARIZONA</x:v>
      </x:c>
      <x:c r="B197" t="str">
        <x:v>Northern Arizona University</x:v>
      </x:c>
      <x:c r="C197" t="str">
        <x:v>FCS</x:v>
      </x:c>
      <x:c r="D197" t="str">
        <x:v>Big Sky Conference</x:v>
      </x:c>
      <x:c r="E197" t="str">
        <x:v>Championship West</x:v>
      </x:c>
      <x:c r="F197" t="n">
        <x:v>11</x:v>
      </x:c>
      <x:c r="G197" t="n">
        <x:v>0.5656</x:v>
      </x:c>
      <x:c r="H197" t="n">
        <x:v>0.4463</x:v>
      </x:c>
      <x:c r="I197" t="n">
        <x:v>44.6413</x:v>
      </x:c>
      <x:c r="J197" t="n">
        <x:f>IF(ISNUMBER(I197),MAX(1,I197),1)</x:f>
        <x:v>44.6413</x:v>
      </x:c>
      <x:c r="K197"/>
      <x:c r="L197" t="str">
        <x:v>NOT VERIFIED</x:v>
      </x:c>
      <x:c r="M197" t="n">
        <x:f>IF(COUNTIFS('Conference pools'!$A$2:$A$25,D197,'Conference pools'!$D$2:$D$25,"&gt;=0")=0,"",SUMIF('Conference pools'!$A$2:$A$25,D197,'Conference pools'!$D$2:$D$25))</x:f>
        <x:v>0</x:v>
      </x:c>
      <x:c r="N197" t="n">
        <x:f>COUNTIF($D$2:$D$267,D197)</x:f>
        <x:v>13</x:v>
      </x:c>
      <x:c r="O197" t="n">
        <x:f>SUMIF($D$2:$D$267,D197,$J$2:$J$267)</x:f>
        <x:v>550.8658999999999</x:v>
      </x:c>
      <x:c r="P197" t="n">
        <x:f>IF(OR(NOT(ISNUMBER(M197)),O197=0),"",M197*('Conference pools'!$H$2/N197+'Conference pools'!$H$3*J197/O197))</x:f>
        <x:v>0</x:v>
      </x:c>
      <x:c r="Q197" t="n">
        <x:f>IF(COUNTIFS($E$2:$E$267,E197,$X$2:$X$267,"&lt;&gt;")&lt;&gt;COUNTIF($E$2:$E$267,E197),"",SUMIF($E$2:$E$267,E197,$X$2:$X$267))</x:f>
        <x:v>0</x:v>
      </x:c>
      <x:c r="R197" t="n">
        <x:f>COUNTIF($E$2:$E$267,E197)</x:f>
        <x:v>12</x:v>
      </x:c>
      <x:c r="S197" t="n">
        <x:f>SUMIF($E$2:$E$267,E197,$J$2:$J$267)</x:f>
        <x:v>604.8823</x:v>
      </x:c>
      <x:c r="T197" t="n">
        <x:f>IF(OR(NOT(ISNUMBER(Q197)),S197=0),"",Q197*('Conference pools'!$H$2/R197+'Conference pools'!$H$3*J197/S197))</x:f>
        <x:v>0</x:v>
      </x:c>
      <x:c r="U197" t="n">
        <x:f>IF(OR(NOT(ISNUMBER(P197)),NOT(ISNUMBER(T197))),"",T197-P197)</x:f>
        <x:v>0</x:v>
      </x:c>
      <x:c r="V197" s="8" t="str">
        <x:f>IF(OR(NOT(ISNUMBER(U197)),P197=0),"",U197/P197)</x:f>
      </x:c>
      <x:c r="W197" t="str">
        <x:f>IF(OR(NOT(ISNUMBER(T197)),NOT(ISNUMBER(K197))),"",T197-K197)</x:f>
      </x:c>
      <x:c r="X197" t="n">
        <x:f>IF(NOT(ISNUMBER(M197)),"",M197/N197)</x:f>
        <x:v>0</x:v>
      </x:c>
    </x:row>
    <x:row r="198">
      <x:c r="A198" t="str">
        <x:v>PORTLAND_STATE</x:v>
      </x:c>
      <x:c r="B198" t="str">
        <x:v>Portland State University</x:v>
      </x:c>
      <x:c r="C198" t="str">
        <x:v>FCS</x:v>
      </x:c>
      <x:c r="D198" t="str">
        <x:v>Big Sky Conference</x:v>
      </x:c>
      <x:c r="E198" t="str">
        <x:v>Championship West</x:v>
      </x:c>
      <x:c r="F198" t="n">
        <x:v>28</x:v>
      </x:c>
      <x:c r="G198" t="n">
        <x:v>0.2369</x:v>
      </x:c>
      <x:c r="H198" t="n">
        <x:v>0.5516</x:v>
      </x:c>
      <x:c r="I198" t="n">
        <x:v>32.3538</x:v>
      </x:c>
      <x:c r="J198" t="n">
        <x:f>IF(ISNUMBER(I198),MAX(1,I198),1)</x:f>
        <x:v>32.3538</x:v>
      </x:c>
      <x:c r="K198"/>
      <x:c r="L198" t="str">
        <x:v>NOT VERIFIED</x:v>
      </x:c>
      <x:c r="M198" t="n">
        <x:f>IF(COUNTIFS('Conference pools'!$A$2:$A$25,D198,'Conference pools'!$D$2:$D$25,"&gt;=0")=0,"",SUMIF('Conference pools'!$A$2:$A$25,D198,'Conference pools'!$D$2:$D$25))</x:f>
        <x:v>0</x:v>
      </x:c>
      <x:c r="N198" t="n">
        <x:f>COUNTIF($D$2:$D$267,D198)</x:f>
        <x:v>13</x:v>
      </x:c>
      <x:c r="O198" t="n">
        <x:f>SUMIF($D$2:$D$267,D198,$J$2:$J$267)</x:f>
        <x:v>550.8658999999999</x:v>
      </x:c>
      <x:c r="P198" t="n">
        <x:f>IF(OR(NOT(ISNUMBER(M198)),O198=0),"",M198*('Conference pools'!$H$2/N198+'Conference pools'!$H$3*J198/O198))</x:f>
        <x:v>0</x:v>
      </x:c>
      <x:c r="Q198" t="n">
        <x:f>IF(COUNTIFS($E$2:$E$267,E198,$X$2:$X$267,"&lt;&gt;")&lt;&gt;COUNTIF($E$2:$E$267,E198),"",SUMIF($E$2:$E$267,E198,$X$2:$X$267))</x:f>
        <x:v>0</x:v>
      </x:c>
      <x:c r="R198" t="n">
        <x:f>COUNTIF($E$2:$E$267,E198)</x:f>
        <x:v>12</x:v>
      </x:c>
      <x:c r="S198" t="n">
        <x:f>SUMIF($E$2:$E$267,E198,$J$2:$J$267)</x:f>
        <x:v>604.8823</x:v>
      </x:c>
      <x:c r="T198" t="n">
        <x:f>IF(OR(NOT(ISNUMBER(Q198)),S198=0),"",Q198*('Conference pools'!$H$2/R198+'Conference pools'!$H$3*J198/S198))</x:f>
        <x:v>0</x:v>
      </x:c>
      <x:c r="U198" t="n">
        <x:f>IF(OR(NOT(ISNUMBER(P198)),NOT(ISNUMBER(T198))),"",T198-P198)</x:f>
        <x:v>0</x:v>
      </x:c>
      <x:c r="V198" s="8" t="str">
        <x:f>IF(OR(NOT(ISNUMBER(U198)),P198=0),"",U198/P198)</x:f>
      </x:c>
      <x:c r="W198" t="str">
        <x:f>IF(OR(NOT(ISNUMBER(T198)),NOT(ISNUMBER(K198))),"",T198-K198)</x:f>
      </x:c>
      <x:c r="X198" t="n">
        <x:f>IF(NOT(ISNUMBER(M198)),"",M198/N198)</x:f>
        <x:v>0</x:v>
      </x:c>
    </x:row>
    <x:row r="199">
      <x:c r="A199" t="str">
        <x:v>SOUTH_CAROLINA_STATE</x:v>
      </x:c>
      <x:c r="B199" t="str">
        <x:v>South Carolina State University</x:v>
      </x:c>
      <x:c r="C199" t="str">
        <x:v>FCS</x:v>
      </x:c>
      <x:c r="D199" t="str">
        <x:v>Mid-Eastern Athletic Conference</x:v>
      </x:c>
      <x:c r="E199" t="str">
        <x:v>Development Midwest</x:v>
      </x:c>
      <x:c r="F199" t="n">
        <x:v>6</x:v>
      </x:c>
      <x:c r="G199" t="n">
        <x:v>0.6906</x:v>
      </x:c>
      <x:c r="H199" t="n">
        <x:v>0.4426</x:v>
      </x:c>
      <x:c r="I199" t="n">
        <x:v>48.8402</x:v>
      </x:c>
      <x:c r="J199" t="n">
        <x:f>IF(ISNUMBER(I199),MAX(1,I199),1)</x:f>
        <x:v>48.8402</x:v>
      </x:c>
      <x:c r="K199"/>
      <x:c r="L199" t="str">
        <x:v>NOT VERIFIED</x:v>
      </x:c>
      <x:c r="M199" t="n">
        <x:f>IF(COUNTIFS('Conference pools'!$A$2:$A$25,D199,'Conference pools'!$D$2:$D$25,"&gt;=0")=0,"",SUMIF('Conference pools'!$A$2:$A$25,D199,'Conference pools'!$D$2:$D$25))</x:f>
        <x:v>0</x:v>
      </x:c>
      <x:c r="N199" t="n">
        <x:f>COUNTIF($D$2:$D$267,D199)</x:f>
        <x:v>6</x:v>
      </x:c>
      <x:c r="O199" t="n">
        <x:f>SUMIF($D$2:$D$267,D199,$J$2:$J$267)</x:f>
        <x:v>227.7955</x:v>
      </x:c>
      <x:c r="P199" t="n">
        <x:f>IF(OR(NOT(ISNUMBER(M199)),O199=0),"",M199*('Conference pools'!$H$2/N199+'Conference pools'!$H$3*J199/O199))</x:f>
        <x:v>0</x:v>
      </x:c>
      <x:c r="Q199" t="n">
        <x:f>IF(COUNTIFS($E$2:$E$267,E199,$X$2:$X$267,"&lt;&gt;")&lt;&gt;COUNTIF($E$2:$E$267,E199),"",SUMIF($E$2:$E$267,E199,$X$2:$X$267))</x:f>
        <x:v>0</x:v>
      </x:c>
      <x:c r="R199" t="n">
        <x:f>COUNTIF($E$2:$E$267,E199)</x:f>
        <x:v>11</x:v>
      </x:c>
      <x:c r="S199" t="n">
        <x:f>SUMIF($E$2:$E$267,E199,$J$2:$J$267)</x:f>
        <x:v>379.9696</x:v>
      </x:c>
      <x:c r="T199" t="n">
        <x:f>IF(OR(NOT(ISNUMBER(Q199)),S199=0),"",Q199*('Conference pools'!$H$2/R199+'Conference pools'!$H$3*J199/S199))</x:f>
        <x:v>0</x:v>
      </x:c>
      <x:c r="U199" t="n">
        <x:f>IF(OR(NOT(ISNUMBER(P199)),NOT(ISNUMBER(T199))),"",T199-P199)</x:f>
        <x:v>0</x:v>
      </x:c>
      <x:c r="V199" s="8" t="str">
        <x:f>IF(OR(NOT(ISNUMBER(U199)),P199=0),"",U199/P199)</x:f>
      </x:c>
      <x:c r="W199" t="str">
        <x:f>IF(OR(NOT(ISNUMBER(T199)),NOT(ISNUMBER(K199))),"",T199-K199)</x:f>
      </x:c>
      <x:c r="X199" t="n">
        <x:f>IF(NOT(ISNUMBER(M199)),"",M199/N199)</x:f>
        <x:v>0</x:v>
      </x:c>
    </x:row>
    <x:row r="200">
      <x:c r="A200" t="str">
        <x:v>GARDNER_WEBB</x:v>
      </x:c>
      <x:c r="B200" t="str">
        <x:v>Gardner-Webb University</x:v>
      </x:c>
      <x:c r="C200" t="str">
        <x:v>FCS</x:v>
      </x:c>
      <x:c r="D200" t="str">
        <x:v>Ohio Valley Conference</x:v>
      </x:c>
      <x:c r="E200" t="str">
        <x:v>Development Midwest</x:v>
      </x:c>
      <x:c r="F200" t="n">
        <x:v>14</x:v>
      </x:c>
      <x:c r="G200" t="n">
        <x:v>0.4971</x:v>
      </x:c>
      <x:c r="H200" t="n">
        <x:v>0.4835</x:v>
      </x:c>
      <x:c r="I200" t="n">
        <x:v>41.4455</x:v>
      </x:c>
      <x:c r="J200" t="n">
        <x:f>IF(ISNUMBER(I200),MAX(1,I200),1)</x:f>
        <x:v>41.4455</x:v>
      </x:c>
      <x:c r="K200"/>
      <x:c r="L200" t="str">
        <x:v>NOT VERIFIED</x:v>
      </x:c>
      <x:c r="M200" t="n">
        <x:f>IF(COUNTIFS('Conference pools'!$A$2:$A$25,D200,'Conference pools'!$D$2:$D$25,"&gt;=0")=0,"",SUMIF('Conference pools'!$A$2:$A$25,D200,'Conference pools'!$D$2:$D$25))</x:f>
        <x:v>0</x:v>
      </x:c>
      <x:c r="N200" t="n">
        <x:f>COUNTIF($D$2:$D$267,D200)</x:f>
        <x:v>9</x:v>
      </x:c>
      <x:c r="O200" t="n">
        <x:f>SUMIF($D$2:$D$267,D200,$J$2:$J$267)</x:f>
        <x:v>298.6623</x:v>
      </x:c>
      <x:c r="P200" t="n">
        <x:f>IF(OR(NOT(ISNUMBER(M200)),O200=0),"",M200*('Conference pools'!$H$2/N200+'Conference pools'!$H$3*J200/O200))</x:f>
        <x:v>0</x:v>
      </x:c>
      <x:c r="Q200" t="n">
        <x:f>IF(COUNTIFS($E$2:$E$267,E200,$X$2:$X$267,"&lt;&gt;")&lt;&gt;COUNTIF($E$2:$E$267,E200),"",SUMIF($E$2:$E$267,E200,$X$2:$X$267))</x:f>
        <x:v>0</x:v>
      </x:c>
      <x:c r="R200" t="n">
        <x:f>COUNTIF($E$2:$E$267,E200)</x:f>
        <x:v>11</x:v>
      </x:c>
      <x:c r="S200" t="n">
        <x:f>SUMIF($E$2:$E$267,E200,$J$2:$J$267)</x:f>
        <x:v>379.9696</x:v>
      </x:c>
      <x:c r="T200" t="n">
        <x:f>IF(OR(NOT(ISNUMBER(Q200)),S200=0),"",Q200*('Conference pools'!$H$2/R200+'Conference pools'!$H$3*J200/S200))</x:f>
        <x:v>0</x:v>
      </x:c>
      <x:c r="U200" t="n">
        <x:f>IF(OR(NOT(ISNUMBER(P200)),NOT(ISNUMBER(T200))),"",T200-P200)</x:f>
        <x:v>0</x:v>
      </x:c>
      <x:c r="V200" s="8" t="str">
        <x:f>IF(OR(NOT(ISNUMBER(U200)),P200=0),"",U200/P200)</x:f>
      </x:c>
      <x:c r="W200" t="str">
        <x:f>IF(OR(NOT(ISNUMBER(T200)),NOT(ISNUMBER(K200))),"",T200-K200)</x:f>
      </x:c>
      <x:c r="X200" t="n">
        <x:f>IF(NOT(ISNUMBER(M200)),"",M200/N200)</x:f>
        <x:v>0</x:v>
      </x:c>
    </x:row>
    <x:row r="201">
      <x:c r="A201" t="str">
        <x:v>PRESBYTERIAN</x:v>
      </x:c>
      <x:c r="B201" t="str">
        <x:v>Presbyterian College</x:v>
      </x:c>
      <x:c r="C201" t="str">
        <x:v>FCS</x:v>
      </x:c>
      <x:c r="D201" t="str">
        <x:v>Pioneer Football League</x:v>
      </x:c>
      <x:c r="E201" t="str">
        <x:v>Development Midwest</x:v>
      </x:c>
      <x:c r="F201" t="n">
        <x:v>15</x:v>
      </x:c>
      <x:c r="G201" t="n">
        <x:v>0.6047</x:v>
      </x:c>
      <x:c r="H201" t="n">
        <x:v>0.4382</x:v>
      </x:c>
      <x:c r="I201" t="n">
        <x:v>40.8329</x:v>
      </x:c>
      <x:c r="J201" t="n">
        <x:f>IF(ISNUMBER(I201),MAX(1,I201),1)</x:f>
        <x:v>40.8329</x:v>
      </x:c>
      <x:c r="K201"/>
      <x:c r="L201" t="str">
        <x:v>NOT VERIFIED</x:v>
      </x:c>
      <x:c r="M201" t="n">
        <x:f>IF(COUNTIFS('Conference pools'!$A$2:$A$25,D201,'Conference pools'!$D$2:$D$25,"&gt;=0")=0,"",SUMIF('Conference pools'!$A$2:$A$25,D201,'Conference pools'!$D$2:$D$25))</x:f>
        <x:v>0</x:v>
      </x:c>
      <x:c r="N201" t="n">
        <x:f>COUNTIF($D$2:$D$267,D201)</x:f>
        <x:v>11</x:v>
      </x:c>
      <x:c r="O201" t="n">
        <x:f>SUMIF($D$2:$D$267,D201,$J$2:$J$267)</x:f>
        <x:v>418.72029999999995</x:v>
      </x:c>
      <x:c r="P201" t="n">
        <x:f>IF(OR(NOT(ISNUMBER(M201)),O201=0),"",M201*('Conference pools'!$H$2/N201+'Conference pools'!$H$3*J201/O201))</x:f>
        <x:v>0</x:v>
      </x:c>
      <x:c r="Q201" t="n">
        <x:f>IF(COUNTIFS($E$2:$E$267,E201,$X$2:$X$267,"&lt;&gt;")&lt;&gt;COUNTIF($E$2:$E$267,E201),"",SUMIF($E$2:$E$267,E201,$X$2:$X$267))</x:f>
        <x:v>0</x:v>
      </x:c>
      <x:c r="R201" t="n">
        <x:f>COUNTIF($E$2:$E$267,E201)</x:f>
        <x:v>11</x:v>
      </x:c>
      <x:c r="S201" t="n">
        <x:f>SUMIF($E$2:$E$267,E201,$J$2:$J$267)</x:f>
        <x:v>379.9696</x:v>
      </x:c>
      <x:c r="T201" t="n">
        <x:f>IF(OR(NOT(ISNUMBER(Q201)),S201=0),"",Q201*('Conference pools'!$H$2/R201+'Conference pools'!$H$3*J201/S201))</x:f>
        <x:v>0</x:v>
      </x:c>
      <x:c r="U201" t="n">
        <x:f>IF(OR(NOT(ISNUMBER(P201)),NOT(ISNUMBER(T201))),"",T201-P201)</x:f>
        <x:v>0</x:v>
      </x:c>
      <x:c r="V201" s="8" t="str">
        <x:f>IF(OR(NOT(ISNUMBER(U201)),P201=0),"",U201/P201)</x:f>
      </x:c>
      <x:c r="W201" t="str">
        <x:f>IF(OR(NOT(ISNUMBER(T201)),NOT(ISNUMBER(K201))),"",T201-K201)</x:f>
      </x:c>
      <x:c r="X201" t="n">
        <x:f>IF(NOT(ISNUMBER(M201)),"",M201/N201)</x:f>
        <x:v>0</x:v>
      </x:c>
    </x:row>
    <x:row r="202">
      <x:c r="A202" t="str">
        <x:v>CAMPBELL</x:v>
      </x:c>
      <x:c r="B202" t="str">
        <x:v>Campbell University</x:v>
      </x:c>
      <x:c r="C202" t="str">
        <x:v>FCS</x:v>
      </x:c>
      <x:c r="D202" t="str">
        <x:v>Coastal Athletic Association</x:v>
      </x:c>
      <x:c r="E202" t="str">
        <x:v>Development Midwest</x:v>
      </x:c>
      <x:c r="F202" t="n">
        <x:v>27</x:v>
      </x:c>
      <x:c r="G202" t="n">
        <x:v>0.2642</x:v>
      </x:c>
      <x:c r="H202" t="n">
        <x:v>0.5113</x:v>
      </x:c>
      <x:c r="I202" t="n">
        <x:v>32.7699</x:v>
      </x:c>
      <x:c r="J202" t="n">
        <x:f>IF(ISNUMBER(I202),MAX(1,I202),1)</x:f>
        <x:v>32.7699</x:v>
      </x:c>
      <x:c r="K202"/>
      <x:c r="L202" t="str">
        <x:v>NOT VERIFIED</x:v>
      </x:c>
      <x:c r="M202" t="n">
        <x:f>IF(COUNTIFS('Conference pools'!$A$2:$A$25,D202,'Conference pools'!$D$2:$D$25,"&gt;=0")=0,"",SUMIF('Conference pools'!$A$2:$A$25,D202,'Conference pools'!$D$2:$D$25))</x:f>
        <x:v>0</x:v>
      </x:c>
      <x:c r="N202" t="n">
        <x:f>COUNTIF($D$2:$D$267,D202)</x:f>
        <x:v>13</x:v>
      </x:c>
      <x:c r="O202" t="n">
        <x:f>SUMIF($D$2:$D$267,D202,$J$2:$J$267)</x:f>
        <x:v>512.5445000000001</x:v>
      </x:c>
      <x:c r="P202" t="n">
        <x:f>IF(OR(NOT(ISNUMBER(M202)),O202=0),"",M202*('Conference pools'!$H$2/N202+'Conference pools'!$H$3*J202/O202))</x:f>
        <x:v>0</x:v>
      </x:c>
      <x:c r="Q202" t="n">
        <x:f>IF(COUNTIFS($E$2:$E$267,E202,$X$2:$X$267,"&lt;&gt;")&lt;&gt;COUNTIF($E$2:$E$267,E202),"",SUMIF($E$2:$E$267,E202,$X$2:$X$267))</x:f>
        <x:v>0</x:v>
      </x:c>
      <x:c r="R202" t="n">
        <x:f>COUNTIF($E$2:$E$267,E202)</x:f>
        <x:v>11</x:v>
      </x:c>
      <x:c r="S202" t="n">
        <x:f>SUMIF($E$2:$E$267,E202,$J$2:$J$267)</x:f>
        <x:v>379.9696</x:v>
      </x:c>
      <x:c r="T202" t="n">
        <x:f>IF(OR(NOT(ISNUMBER(Q202)),S202=0),"",Q202*('Conference pools'!$H$2/R202+'Conference pools'!$H$3*J202/S202))</x:f>
        <x:v>0</x:v>
      </x:c>
      <x:c r="U202" t="n">
        <x:f>IF(OR(NOT(ISNUMBER(P202)),NOT(ISNUMBER(T202))),"",T202-P202)</x:f>
        <x:v>0</x:v>
      </x:c>
      <x:c r="V202" s="8" t="str">
        <x:f>IF(OR(NOT(ISNUMBER(U202)),P202=0),"",U202/P202)</x:f>
      </x:c>
      <x:c r="W202" t="str">
        <x:f>IF(OR(NOT(ISNUMBER(T202)),NOT(ISNUMBER(K202))),"",T202-K202)</x:f>
      </x:c>
      <x:c r="X202" t="n">
        <x:f>IF(NOT(ISNUMBER(M202)),"",M202/N202)</x:f>
        <x:v>0</x:v>
      </x:c>
    </x:row>
    <x:row r="203">
      <x:c r="A203" t="str">
        <x:v>NORFOLK_STATE</x:v>
      </x:c>
      <x:c r="B203" t="str">
        <x:v>Norfolk State University</x:v>
      </x:c>
      <x:c r="C203" t="str">
        <x:v>FCS</x:v>
      </x:c>
      <x:c r="D203" t="str">
        <x:v>Mid-Eastern Athletic Conference</x:v>
      </x:c>
      <x:c r="E203" t="str">
        <x:v>Development Midwest</x:v>
      </x:c>
      <x:c r="F203" t="n">
        <x:v>31</x:v>
      </x:c>
      <x:c r="G203" t="n">
        <x:v>0.2162</x:v>
      </x:c>
      <x:c r="H203" t="n">
        <x:v>0.4651</x:v>
      </x:c>
      <x:c r="I203" t="n">
        <x:v>28.0086</x:v>
      </x:c>
      <x:c r="J203" t="n">
        <x:f>IF(ISNUMBER(I203),MAX(1,I203),1)</x:f>
        <x:v>28.0086</x:v>
      </x:c>
      <x:c r="K203"/>
      <x:c r="L203" t="str">
        <x:v>NOT VERIFIED</x:v>
      </x:c>
      <x:c r="M203" t="n">
        <x:f>IF(COUNTIFS('Conference pools'!$A$2:$A$25,D203,'Conference pools'!$D$2:$D$25,"&gt;=0")=0,"",SUMIF('Conference pools'!$A$2:$A$25,D203,'Conference pools'!$D$2:$D$25))</x:f>
        <x:v>0</x:v>
      </x:c>
      <x:c r="N203" t="n">
        <x:f>COUNTIF($D$2:$D$267,D203)</x:f>
        <x:v>6</x:v>
      </x:c>
      <x:c r="O203" t="n">
        <x:f>SUMIF($D$2:$D$267,D203,$J$2:$J$267)</x:f>
        <x:v>227.7955</x:v>
      </x:c>
      <x:c r="P203" t="n">
        <x:f>IF(OR(NOT(ISNUMBER(M203)),O203=0),"",M203*('Conference pools'!$H$2/N203+'Conference pools'!$H$3*J203/O203))</x:f>
        <x:v>0</x:v>
      </x:c>
      <x:c r="Q203" t="n">
        <x:f>IF(COUNTIFS($E$2:$E$267,E203,$X$2:$X$267,"&lt;&gt;")&lt;&gt;COUNTIF($E$2:$E$267,E203),"",SUMIF($E$2:$E$267,E203,$X$2:$X$267))</x:f>
        <x:v>0</x:v>
      </x:c>
      <x:c r="R203" t="n">
        <x:f>COUNTIF($E$2:$E$267,E203)</x:f>
        <x:v>11</x:v>
      </x:c>
      <x:c r="S203" t="n">
        <x:f>SUMIF($E$2:$E$267,E203,$J$2:$J$267)</x:f>
        <x:v>379.9696</x:v>
      </x:c>
      <x:c r="T203" t="n">
        <x:f>IF(OR(NOT(ISNUMBER(Q203)),S203=0),"",Q203*('Conference pools'!$H$2/R203+'Conference pools'!$H$3*J203/S203))</x:f>
        <x:v>0</x:v>
      </x:c>
      <x:c r="U203" t="n">
        <x:f>IF(OR(NOT(ISNUMBER(P203)),NOT(ISNUMBER(T203))),"",T203-P203)</x:f>
        <x:v>0</x:v>
      </x:c>
      <x:c r="V203" s="8" t="str">
        <x:f>IF(OR(NOT(ISNUMBER(U203)),P203=0),"",U203/P203)</x:f>
      </x:c>
      <x:c r="W203" t="str">
        <x:f>IF(OR(NOT(ISNUMBER(T203)),NOT(ISNUMBER(K203))),"",T203-K203)</x:f>
      </x:c>
      <x:c r="X203" t="n">
        <x:f>IF(NOT(ISNUMBER(M203)),"",M203/N203)</x:f>
        <x:v>0</x:v>
      </x:c>
    </x:row>
    <x:row r="204">
      <x:c r="A204" t="str">
        <x:v>STETSON</x:v>
      </x:c>
      <x:c r="B204" t="str">
        <x:v>Stetson University</x:v>
      </x:c>
      <x:c r="C204" t="str">
        <x:v>FCS</x:v>
      </x:c>
      <x:c r="D204" t="str">
        <x:v>Pioneer Football League</x:v>
      </x:c>
      <x:c r="E204" t="str">
        <x:v>Development Midwest</x:v>
      </x:c>
      <x:c r="F204" t="n">
        <x:v>34</x:v>
      </x:c>
      <x:c r="G204" t="n">
        <x:v>0.2329</x:v>
      </x:c>
      <x:c r="H204" t="n">
        <x:v>0.4982</x:v>
      </x:c>
      <x:c r="I204" t="n">
        <x:v>25.0324</x:v>
      </x:c>
      <x:c r="J204" t="n">
        <x:f>IF(ISNUMBER(I204),MAX(1,I204),1)</x:f>
        <x:v>25.0324</x:v>
      </x:c>
      <x:c r="K204"/>
      <x:c r="L204" t="str">
        <x:v>NOT VERIFIED</x:v>
      </x:c>
      <x:c r="M204" t="n">
        <x:f>IF(COUNTIFS('Conference pools'!$A$2:$A$25,D204,'Conference pools'!$D$2:$D$25,"&gt;=0")=0,"",SUMIF('Conference pools'!$A$2:$A$25,D204,'Conference pools'!$D$2:$D$25))</x:f>
        <x:v>0</x:v>
      </x:c>
      <x:c r="N204" t="n">
        <x:f>COUNTIF($D$2:$D$267,D204)</x:f>
        <x:v>11</x:v>
      </x:c>
      <x:c r="O204" t="n">
        <x:f>SUMIF($D$2:$D$267,D204,$J$2:$J$267)</x:f>
        <x:v>418.72029999999995</x:v>
      </x:c>
      <x:c r="P204" t="n">
        <x:f>IF(OR(NOT(ISNUMBER(M204)),O204=0),"",M204*('Conference pools'!$H$2/N204+'Conference pools'!$H$3*J204/O204))</x:f>
        <x:v>0</x:v>
      </x:c>
      <x:c r="Q204" t="n">
        <x:f>IF(COUNTIFS($E$2:$E$267,E204,$X$2:$X$267,"&lt;&gt;")&lt;&gt;COUNTIF($E$2:$E$267,E204),"",SUMIF($E$2:$E$267,E204,$X$2:$X$267))</x:f>
        <x:v>0</x:v>
      </x:c>
      <x:c r="R204" t="n">
        <x:f>COUNTIF($E$2:$E$267,E204)</x:f>
        <x:v>11</x:v>
      </x:c>
      <x:c r="S204" t="n">
        <x:f>SUMIF($E$2:$E$267,E204,$J$2:$J$267)</x:f>
        <x:v>379.9696</x:v>
      </x:c>
      <x:c r="T204" t="n">
        <x:f>IF(OR(NOT(ISNUMBER(Q204)),S204=0),"",Q204*('Conference pools'!$H$2/R204+'Conference pools'!$H$3*J204/S204))</x:f>
        <x:v>0</x:v>
      </x:c>
      <x:c r="U204" t="n">
        <x:f>IF(OR(NOT(ISNUMBER(P204)),NOT(ISNUMBER(T204))),"",T204-P204)</x:f>
        <x:v>0</x:v>
      </x:c>
      <x:c r="V204" s="8" t="str">
        <x:f>IF(OR(NOT(ISNUMBER(U204)),P204=0),"",U204/P204)</x:f>
      </x:c>
      <x:c r="W204" t="str">
        <x:f>IF(OR(NOT(ISNUMBER(T204)),NOT(ISNUMBER(K204))),"",T204-K204)</x:f>
      </x:c>
      <x:c r="X204" t="n">
        <x:f>IF(NOT(ISNUMBER(M204)),"",M204/N204)</x:f>
        <x:v>0</x:v>
      </x:c>
    </x:row>
    <x:row r="205">
      <x:c r="A205" t="str">
        <x:v>CITADEL</x:v>
      </x:c>
      <x:c r="B205" t="str">
        <x:v>The Citadel The Military College of South Carolina</x:v>
      </x:c>
      <x:c r="C205" t="str">
        <x:v>FCS</x:v>
      </x:c>
      <x:c r="D205" t="str">
        <x:v>Southern Conference</x:v>
      </x:c>
      <x:c r="E205" t="str">
        <x:v>Development Midwest</x:v>
      </x:c>
      <x:c r="F205" t="n">
        <x:v>28</x:v>
      </x:c>
      <x:c r="G205" t="n">
        <x:v>0.2838</x:v>
      </x:c>
      <x:c r="H205" t="n">
        <x:v>0.5069</x:v>
      </x:c>
      <x:c r="I205" t="n">
        <x:v>32.1285</x:v>
      </x:c>
      <x:c r="J205" t="n">
        <x:f>IF(ISNUMBER(I205),MAX(1,I205),1)</x:f>
        <x:v>32.1285</x:v>
      </x:c>
      <x:c r="K205"/>
      <x:c r="L205" t="str">
        <x:v>NOT VERIFIED</x:v>
      </x:c>
      <x:c r="M205" t="n">
        <x:f>IF(COUNTIFS('Conference pools'!$A$2:$A$25,D205,'Conference pools'!$D$2:$D$25,"&gt;=0")=0,"",SUMIF('Conference pools'!$A$2:$A$25,D205,'Conference pools'!$D$2:$D$25))</x:f>
        <x:v>0</x:v>
      </x:c>
      <x:c r="N205" t="n">
        <x:f>COUNTIF($D$2:$D$267,D205)</x:f>
        <x:v>10</x:v>
      </x:c>
      <x:c r="O205" t="n">
        <x:f>SUMIF($D$2:$D$267,D205,$J$2:$J$267)</x:f>
        <x:v>405.9278999999999</x:v>
      </x:c>
      <x:c r="P205" t="n">
        <x:f>IF(OR(NOT(ISNUMBER(M205)),O205=0),"",M205*('Conference pools'!$H$2/N205+'Conference pools'!$H$3*J205/O205))</x:f>
        <x:v>0</x:v>
      </x:c>
      <x:c r="Q205" t="n">
        <x:f>IF(COUNTIFS($E$2:$E$267,E205,$X$2:$X$267,"&lt;&gt;")&lt;&gt;COUNTIF($E$2:$E$267,E205),"",SUMIF($E$2:$E$267,E205,$X$2:$X$267))</x:f>
        <x:v>0</x:v>
      </x:c>
      <x:c r="R205" t="n">
        <x:f>COUNTIF($E$2:$E$267,E205)</x:f>
        <x:v>11</x:v>
      </x:c>
      <x:c r="S205" t="n">
        <x:f>SUMIF($E$2:$E$267,E205,$J$2:$J$267)</x:f>
        <x:v>379.9696</x:v>
      </x:c>
      <x:c r="T205" t="n">
        <x:f>IF(OR(NOT(ISNUMBER(Q205)),S205=0),"",Q205*('Conference pools'!$H$2/R205+'Conference pools'!$H$3*J205/S205))</x:f>
        <x:v>0</x:v>
      </x:c>
      <x:c r="U205" t="n">
        <x:f>IF(OR(NOT(ISNUMBER(P205)),NOT(ISNUMBER(T205))),"",T205-P205)</x:f>
        <x:v>0</x:v>
      </x:c>
      <x:c r="V205" s="8" t="str">
        <x:f>IF(OR(NOT(ISNUMBER(U205)),P205=0),"",U205/P205)</x:f>
      </x:c>
      <x:c r="W205" t="str">
        <x:f>IF(OR(NOT(ISNUMBER(T205)),NOT(ISNUMBER(K205))),"",T205-K205)</x:f>
      </x:c>
      <x:c r="X205" t="n">
        <x:f>IF(NOT(ISNUMBER(M205)),"",M205/N205)</x:f>
        <x:v>0</x:v>
      </x:c>
    </x:row>
    <x:row r="206">
      <x:c r="A206" t="str">
        <x:v>BETHUNE_COOKMAN</x:v>
      </x:c>
      <x:c r="B206" t="str">
        <x:v>Bethune-Cookman University</x:v>
      </x:c>
      <x:c r="C206" t="str">
        <x:v>FCS</x:v>
      </x:c>
      <x:c r="D206" t="str">
        <x:v>Southwestern Athletic Conference</x:v>
      </x:c>
      <x:c r="E206" t="str">
        <x:v>Development Midwest</x:v>
      </x:c>
      <x:c r="F206" t="n">
        <x:v>25</x:v>
      </x:c>
      <x:c r="G206" t="n">
        <x:v>0.3288</x:v>
      </x:c>
      <x:c r="H206" t="n">
        <x:v>0.5295</x:v>
      </x:c>
      <x:c r="I206" t="n">
        <x:v>34.511</x:v>
      </x:c>
      <x:c r="J206" t="n">
        <x:f>IF(ISNUMBER(I206),MAX(1,I206),1)</x:f>
        <x:v>34.511</x:v>
      </x:c>
      <x:c r="K206"/>
      <x:c r="L206" t="str">
        <x:v>NOT VERIFIED</x:v>
      </x:c>
      <x:c r="M206" t="n">
        <x:f>IF(COUNTIFS('Conference pools'!$A$2:$A$25,D206,'Conference pools'!$D$2:$D$25,"&gt;=0")=0,"",SUMIF('Conference pools'!$A$2:$A$25,D206,'Conference pools'!$D$2:$D$25))</x:f>
        <x:v>0</x:v>
      </x:c>
      <x:c r="N206" t="n">
        <x:f>COUNTIF($D$2:$D$267,D206)</x:f>
        <x:v>12</x:v>
      </x:c>
      <x:c r="O206" t="n">
        <x:f>SUMIF($D$2:$D$267,D206,$J$2:$J$267)</x:f>
        <x:v>469.56230000000005</x:v>
      </x:c>
      <x:c r="P206" t="n">
        <x:f>IF(OR(NOT(ISNUMBER(M206)),O206=0),"",M206*('Conference pools'!$H$2/N206+'Conference pools'!$H$3*J206/O206))</x:f>
        <x:v>0</x:v>
      </x:c>
      <x:c r="Q206" t="n">
        <x:f>IF(COUNTIFS($E$2:$E$267,E206,$X$2:$X$267,"&lt;&gt;")&lt;&gt;COUNTIF($E$2:$E$267,E206),"",SUMIF($E$2:$E$267,E206,$X$2:$X$267))</x:f>
        <x:v>0</x:v>
      </x:c>
      <x:c r="R206" t="n">
        <x:f>COUNTIF($E$2:$E$267,E206)</x:f>
        <x:v>11</x:v>
      </x:c>
      <x:c r="S206" t="n">
        <x:f>SUMIF($E$2:$E$267,E206,$J$2:$J$267)</x:f>
        <x:v>379.9696</x:v>
      </x:c>
      <x:c r="T206" t="n">
        <x:f>IF(OR(NOT(ISNUMBER(Q206)),S206=0),"",Q206*('Conference pools'!$H$2/R206+'Conference pools'!$H$3*J206/S206))</x:f>
        <x:v>0</x:v>
      </x:c>
      <x:c r="U206" t="n">
        <x:f>IF(OR(NOT(ISNUMBER(P206)),NOT(ISNUMBER(T206))),"",T206-P206)</x:f>
        <x:v>0</x:v>
      </x:c>
      <x:c r="V206" s="8" t="str">
        <x:f>IF(OR(NOT(ISNUMBER(U206)),P206=0),"",U206/P206)</x:f>
      </x:c>
      <x:c r="W206" t="str">
        <x:f>IF(OR(NOT(ISNUMBER(T206)),NOT(ISNUMBER(K206))),"",T206-K206)</x:f>
      </x:c>
      <x:c r="X206" t="n">
        <x:f>IF(NOT(ISNUMBER(M206)),"",M206/N206)</x:f>
        <x:v>0</x:v>
      </x:c>
    </x:row>
    <x:row r="207">
      <x:c r="A207" t="str">
        <x:v>CHARLESTON_SOUTHERN</x:v>
      </x:c>
      <x:c r="B207" t="str">
        <x:v>Charleston Southern University</x:v>
      </x:c>
      <x:c r="C207" t="str">
        <x:v>FCS</x:v>
      </x:c>
      <x:c r="D207" t="str">
        <x:v>Ohio Valley Conference</x:v>
      </x:c>
      <x:c r="E207" t="str">
        <x:v>Development Midwest</x:v>
      </x:c>
      <x:c r="F207" t="n">
        <x:v>27</x:v>
      </x:c>
      <x:c r="G207" t="n">
        <x:v>0.2867</x:v>
      </x:c>
      <x:c r="H207" t="n">
        <x:v>0.4965</x:v>
      </x:c>
      <x:c r="I207" t="n">
        <x:v>32.7829</x:v>
      </x:c>
      <x:c r="J207" t="n">
        <x:f>IF(ISNUMBER(I207),MAX(1,I207),1)</x:f>
        <x:v>32.7829</x:v>
      </x:c>
      <x:c r="K207"/>
      <x:c r="L207" t="str">
        <x:v>NOT VERIFIED</x:v>
      </x:c>
      <x:c r="M207" t="n">
        <x:f>IF(COUNTIFS('Conference pools'!$A$2:$A$25,D207,'Conference pools'!$D$2:$D$25,"&gt;=0")=0,"",SUMIF('Conference pools'!$A$2:$A$25,D207,'Conference pools'!$D$2:$D$25))</x:f>
        <x:v>0</x:v>
      </x:c>
      <x:c r="N207" t="n">
        <x:f>COUNTIF($D$2:$D$267,D207)</x:f>
        <x:v>9</x:v>
      </x:c>
      <x:c r="O207" t="n">
        <x:f>SUMIF($D$2:$D$267,D207,$J$2:$J$267)</x:f>
        <x:v>298.6623</x:v>
      </x:c>
      <x:c r="P207" t="n">
        <x:f>IF(OR(NOT(ISNUMBER(M207)),O207=0),"",M207*('Conference pools'!$H$2/N207+'Conference pools'!$H$3*J207/O207))</x:f>
        <x:v>0</x:v>
      </x:c>
      <x:c r="Q207" t="n">
        <x:f>IF(COUNTIFS($E$2:$E$267,E207,$X$2:$X$267,"&lt;&gt;")&lt;&gt;COUNTIF($E$2:$E$267,E207),"",SUMIF($E$2:$E$267,E207,$X$2:$X$267))</x:f>
        <x:v>0</x:v>
      </x:c>
      <x:c r="R207" t="n">
        <x:f>COUNTIF($E$2:$E$267,E207)</x:f>
        <x:v>11</x:v>
      </x:c>
      <x:c r="S207" t="n">
        <x:f>SUMIF($E$2:$E$267,E207,$J$2:$J$267)</x:f>
        <x:v>379.9696</x:v>
      </x:c>
      <x:c r="T207" t="n">
        <x:f>IF(OR(NOT(ISNUMBER(Q207)),S207=0),"",Q207*('Conference pools'!$H$2/R207+'Conference pools'!$H$3*J207/S207))</x:f>
        <x:v>0</x:v>
      </x:c>
      <x:c r="U207" t="n">
        <x:f>IF(OR(NOT(ISNUMBER(P207)),NOT(ISNUMBER(T207))),"",T207-P207)</x:f>
        <x:v>0</x:v>
      </x:c>
      <x:c r="V207" s="8" t="str">
        <x:f>IF(OR(NOT(ISNUMBER(U207)),P207=0),"",U207/P207)</x:f>
      </x:c>
      <x:c r="W207" t="str">
        <x:f>IF(OR(NOT(ISNUMBER(T207)),NOT(ISNUMBER(K207))),"",T207-K207)</x:f>
      </x:c>
      <x:c r="X207" t="n">
        <x:f>IF(NOT(ISNUMBER(M207)),"",M207/N207)</x:f>
        <x:v>0</x:v>
      </x:c>
    </x:row>
    <x:row r="208">
      <x:c r="A208" t="str">
        <x:v>WOFFORD</x:v>
      </x:c>
      <x:c r="B208" t="str">
        <x:v>Wofford College</x:v>
      </x:c>
      <x:c r="C208" t="str">
        <x:v>FCS</x:v>
      </x:c>
      <x:c r="D208" t="str">
        <x:v>Southern Conference</x:v>
      </x:c>
      <x:c r="E208" t="str">
        <x:v>Development Midwest</x:v>
      </x:c>
      <x:c r="F208" t="n">
        <x:v>20</x:v>
      </x:c>
      <x:c r="G208" t="n">
        <x:v>0.3953</x:v>
      </x:c>
      <x:c r="H208" t="n">
        <x:v>0.4602</x:v>
      </x:c>
      <x:c r="I208" t="n">
        <x:v>37.2076</x:v>
      </x:c>
      <x:c r="J208" t="n">
        <x:f>IF(ISNUMBER(I208),MAX(1,I208),1)</x:f>
        <x:v>37.2076</x:v>
      </x:c>
      <x:c r="K208"/>
      <x:c r="L208" t="str">
        <x:v>NOT VERIFIED</x:v>
      </x:c>
      <x:c r="M208" t="n">
        <x:f>IF(COUNTIFS('Conference pools'!$A$2:$A$25,D208,'Conference pools'!$D$2:$D$25,"&gt;=0")=0,"",SUMIF('Conference pools'!$A$2:$A$25,D208,'Conference pools'!$D$2:$D$25))</x:f>
        <x:v>0</x:v>
      </x:c>
      <x:c r="N208" t="n">
        <x:f>COUNTIF($D$2:$D$267,D208)</x:f>
        <x:v>10</x:v>
      </x:c>
      <x:c r="O208" t="n">
        <x:f>SUMIF($D$2:$D$267,D208,$J$2:$J$267)</x:f>
        <x:v>405.9278999999999</x:v>
      </x:c>
      <x:c r="P208" t="n">
        <x:f>IF(OR(NOT(ISNUMBER(M208)),O208=0),"",M208*('Conference pools'!$H$2/N208+'Conference pools'!$H$3*J208/O208))</x:f>
        <x:v>0</x:v>
      </x:c>
      <x:c r="Q208" t="n">
        <x:f>IF(COUNTIFS($E$2:$E$267,E208,$X$2:$X$267,"&lt;&gt;")&lt;&gt;COUNTIF($E$2:$E$267,E208),"",SUMIF($E$2:$E$267,E208,$X$2:$X$267))</x:f>
        <x:v>0</x:v>
      </x:c>
      <x:c r="R208" t="n">
        <x:f>COUNTIF($E$2:$E$267,E208)</x:f>
        <x:v>11</x:v>
      </x:c>
      <x:c r="S208" t="n">
        <x:f>SUMIF($E$2:$E$267,E208,$J$2:$J$267)</x:f>
        <x:v>379.9696</x:v>
      </x:c>
      <x:c r="T208" t="n">
        <x:f>IF(OR(NOT(ISNUMBER(Q208)),S208=0),"",Q208*('Conference pools'!$H$2/R208+'Conference pools'!$H$3*J208/S208))</x:f>
        <x:v>0</x:v>
      </x:c>
      <x:c r="U208" t="n">
        <x:f>IF(OR(NOT(ISNUMBER(P208)),NOT(ISNUMBER(T208))),"",T208-P208)</x:f>
        <x:v>0</x:v>
      </x:c>
      <x:c r="V208" s="8" t="str">
        <x:f>IF(OR(NOT(ISNUMBER(U208)),P208=0),"",U208/P208)</x:f>
      </x:c>
      <x:c r="W208" t="str">
        <x:f>IF(OR(NOT(ISNUMBER(T208)),NOT(ISNUMBER(K208))),"",T208-K208)</x:f>
      </x:c>
      <x:c r="X208" t="n">
        <x:f>IF(NOT(ISNUMBER(M208)),"",M208/N208)</x:f>
        <x:v>0</x:v>
      </x:c>
    </x:row>
    <x:row r="209">
      <x:c r="A209" t="str">
        <x:v>NC_AT</x:v>
      </x:c>
      <x:c r="B209" t="str">
        <x:v>North Carolina A&amp;T State University</x:v>
      </x:c>
      <x:c r="C209" t="str">
        <x:v>FCS</x:v>
      </x:c>
      <x:c r="D209" t="str">
        <x:v>Coastal Athletic Association</x:v>
      </x:c>
      <x:c r="E209" t="str">
        <x:v>Development Midwest</x:v>
      </x:c>
      <x:c r="F209" t="n">
        <x:v>33</x:v>
      </x:c>
      <x:c r="G209" t="n">
        <x:v>0.1194</x:v>
      </x:c>
      <x:c r="H209" t="n">
        <x:v>0.5329</x:v>
      </x:c>
      <x:c r="I209" t="n">
        <x:v>26.4101</x:v>
      </x:c>
      <x:c r="J209" t="n">
        <x:f>IF(ISNUMBER(I209),MAX(1,I209),1)</x:f>
        <x:v>26.4101</x:v>
      </x:c>
      <x:c r="K209"/>
      <x:c r="L209" t="str">
        <x:v>NOT VERIFIED</x:v>
      </x:c>
      <x:c r="M209" t="n">
        <x:f>IF(COUNTIFS('Conference pools'!$A$2:$A$25,D209,'Conference pools'!$D$2:$D$25,"&gt;=0")=0,"",SUMIF('Conference pools'!$A$2:$A$25,D209,'Conference pools'!$D$2:$D$25))</x:f>
        <x:v>0</x:v>
      </x:c>
      <x:c r="N209" t="n">
        <x:f>COUNTIF($D$2:$D$267,D209)</x:f>
        <x:v>13</x:v>
      </x:c>
      <x:c r="O209" t="n">
        <x:f>SUMIF($D$2:$D$267,D209,$J$2:$J$267)</x:f>
        <x:v>512.5445000000001</x:v>
      </x:c>
      <x:c r="P209" t="n">
        <x:f>IF(OR(NOT(ISNUMBER(M209)),O209=0),"",M209*('Conference pools'!$H$2/N209+'Conference pools'!$H$3*J209/O209))</x:f>
        <x:v>0</x:v>
      </x:c>
      <x:c r="Q209" t="n">
        <x:f>IF(COUNTIFS($E$2:$E$267,E209,$X$2:$X$267,"&lt;&gt;")&lt;&gt;COUNTIF($E$2:$E$267,E209),"",SUMIF($E$2:$E$267,E209,$X$2:$X$267))</x:f>
        <x:v>0</x:v>
      </x:c>
      <x:c r="R209" t="n">
        <x:f>COUNTIF($E$2:$E$267,E209)</x:f>
        <x:v>11</x:v>
      </x:c>
      <x:c r="S209" t="n">
        <x:f>SUMIF($E$2:$E$267,E209,$J$2:$J$267)</x:f>
        <x:v>379.9696</x:v>
      </x:c>
      <x:c r="T209" t="n">
        <x:f>IF(OR(NOT(ISNUMBER(Q209)),S209=0),"",Q209*('Conference pools'!$H$2/R209+'Conference pools'!$H$3*J209/S209))</x:f>
        <x:v>0</x:v>
      </x:c>
      <x:c r="U209" t="n">
        <x:f>IF(OR(NOT(ISNUMBER(P209)),NOT(ISNUMBER(T209))),"",T209-P209)</x:f>
        <x:v>0</x:v>
      </x:c>
      <x:c r="V209" s="8" t="str">
        <x:f>IF(OR(NOT(ISNUMBER(U209)),P209=0),"",U209/P209)</x:f>
      </x:c>
      <x:c r="W209" t="str">
        <x:f>IF(OR(NOT(ISNUMBER(T209)),NOT(ISNUMBER(K209))),"",T209-K209)</x:f>
      </x:c>
      <x:c r="X209" t="n">
        <x:f>IF(NOT(ISNUMBER(M209)),"",M209/N209)</x:f>
        <x:v>0</x:v>
      </x:c>
    </x:row>
    <x:row r="210">
      <x:c r="A210" t="str">
        <x:v>GRAMBLING</x:v>
      </x:c>
      <x:c r="B210" t="str">
        <x:v>Grambling State University</x:v>
      </x:c>
      <x:c r="C210" t="str">
        <x:v>FCS</x:v>
      </x:c>
      <x:c r="D210" t="str">
        <x:v>Southwestern Athletic Conference</x:v>
      </x:c>
      <x:c r="E210" t="str">
        <x:v>Development Mountain</x:v>
      </x:c>
      <x:c r="F210" t="n">
        <x:v>15</x:v>
      </x:c>
      <x:c r="G210" t="n">
        <x:v>0.4941</x:v>
      </x:c>
      <x:c r="H210" t="n">
        <x:v>0.472</x:v>
      </x:c>
      <x:c r="I210" t="n">
        <x:v>41.0656</x:v>
      </x:c>
      <x:c r="J210" t="n">
        <x:f>IF(ISNUMBER(I210),MAX(1,I210),1)</x:f>
        <x:v>41.0656</x:v>
      </x:c>
      <x:c r="K210"/>
      <x:c r="L210" t="str">
        <x:v>NOT VERIFIED</x:v>
      </x:c>
      <x:c r="M210" t="n">
        <x:f>IF(COUNTIFS('Conference pools'!$A$2:$A$25,D210,'Conference pools'!$D$2:$D$25,"&gt;=0")=0,"",SUMIF('Conference pools'!$A$2:$A$25,D210,'Conference pools'!$D$2:$D$25))</x:f>
        <x:v>0</x:v>
      </x:c>
      <x:c r="N210" t="n">
        <x:f>COUNTIF($D$2:$D$267,D210)</x:f>
        <x:v>12</x:v>
      </x:c>
      <x:c r="O210" t="n">
        <x:f>SUMIF($D$2:$D$267,D210,$J$2:$J$267)</x:f>
        <x:v>469.56230000000005</x:v>
      </x:c>
      <x:c r="P210" t="n">
        <x:f>IF(OR(NOT(ISNUMBER(M210)),O210=0),"",M210*('Conference pools'!$H$2/N210+'Conference pools'!$H$3*J210/O210))</x:f>
        <x:v>0</x:v>
      </x:c>
      <x:c r="Q210" t="n">
        <x:f>IF(COUNTIFS($E$2:$E$267,E210,$X$2:$X$267,"&lt;&gt;")&lt;&gt;COUNTIF($E$2:$E$267,E210),"",SUMIF($E$2:$E$267,E210,$X$2:$X$267))</x:f>
        <x:v>0</x:v>
      </x:c>
      <x:c r="R210" t="n">
        <x:f>COUNTIF($E$2:$E$267,E210)</x:f>
        <x:v>12</x:v>
      </x:c>
      <x:c r="S210" t="n">
        <x:f>SUMIF($E$2:$E$267,E210,$J$2:$J$267)</x:f>
        <x:v>418.42969999999997</x:v>
      </x:c>
      <x:c r="T210" t="n">
        <x:f>IF(OR(NOT(ISNUMBER(Q210)),S210=0),"",Q210*('Conference pools'!$H$2/R210+'Conference pools'!$H$3*J210/S210))</x:f>
        <x:v>0</x:v>
      </x:c>
      <x:c r="U210" t="n">
        <x:f>IF(OR(NOT(ISNUMBER(P210)),NOT(ISNUMBER(T210))),"",T210-P210)</x:f>
        <x:v>0</x:v>
      </x:c>
      <x:c r="V210" s="8" t="str">
        <x:f>IF(OR(NOT(ISNUMBER(U210)),P210=0),"",U210/P210)</x:f>
      </x:c>
      <x:c r="W210" t="str">
        <x:f>IF(OR(NOT(ISNUMBER(T210)),NOT(ISNUMBER(K210))),"",T210-K210)</x:f>
      </x:c>
      <x:c r="X210" t="n">
        <x:f>IF(NOT(ISNUMBER(M210)),"",M210/N210)</x:f>
        <x:v>0</x:v>
      </x:c>
    </x:row>
    <x:row r="211">
      <x:c r="A211" t="str">
        <x:v>TENNESSEE_TECH</x:v>
      </x:c>
      <x:c r="B211" t="str">
        <x:v>Tennessee Technological University</x:v>
      </x:c>
      <x:c r="C211" t="str">
        <x:v>FCS</x:v>
      </x:c>
      <x:c r="D211" t="str">
        <x:v>Southern Conference</x:v>
      </x:c>
      <x:c r="E211" t="str">
        <x:v>Development Mountain</x:v>
      </x:c>
      <x:c r="F211" t="n">
        <x:v>9</x:v>
      </x:c>
      <x:c r="G211" t="n">
        <x:v>0.6462</x:v>
      </x:c>
      <x:c r="H211" t="n">
        <x:v>0.436</x:v>
      </x:c>
      <x:c r="I211" t="n">
        <x:v>45.7143</x:v>
      </x:c>
      <x:c r="J211" t="n">
        <x:f>IF(ISNUMBER(I211),MAX(1,I211),1)</x:f>
        <x:v>45.7143</x:v>
      </x:c>
      <x:c r="K211"/>
      <x:c r="L211" t="str">
        <x:v>NOT VERIFIED</x:v>
      </x:c>
      <x:c r="M211" t="n">
        <x:f>IF(COUNTIFS('Conference pools'!$A$2:$A$25,D211,'Conference pools'!$D$2:$D$25,"&gt;=0")=0,"",SUMIF('Conference pools'!$A$2:$A$25,D211,'Conference pools'!$D$2:$D$25))</x:f>
        <x:v>0</x:v>
      </x:c>
      <x:c r="N211" t="n">
        <x:f>COUNTIF($D$2:$D$267,D211)</x:f>
        <x:v>10</x:v>
      </x:c>
      <x:c r="O211" t="n">
        <x:f>SUMIF($D$2:$D$267,D211,$J$2:$J$267)</x:f>
        <x:v>405.9278999999999</x:v>
      </x:c>
      <x:c r="P211" t="n">
        <x:f>IF(OR(NOT(ISNUMBER(M211)),O211=0),"",M211*('Conference pools'!$H$2/N211+'Conference pools'!$H$3*J211/O211))</x:f>
        <x:v>0</x:v>
      </x:c>
      <x:c r="Q211" t="n">
        <x:f>IF(COUNTIFS($E$2:$E$267,E211,$X$2:$X$267,"&lt;&gt;")&lt;&gt;COUNTIF($E$2:$E$267,E211),"",SUMIF($E$2:$E$267,E211,$X$2:$X$267))</x:f>
        <x:v>0</x:v>
      </x:c>
      <x:c r="R211" t="n">
        <x:f>COUNTIF($E$2:$E$267,E211)</x:f>
        <x:v>12</x:v>
      </x:c>
      <x:c r="S211" t="n">
        <x:f>SUMIF($E$2:$E$267,E211,$J$2:$J$267)</x:f>
        <x:v>418.42969999999997</x:v>
      </x:c>
      <x:c r="T211" t="n">
        <x:f>IF(OR(NOT(ISNUMBER(Q211)),S211=0),"",Q211*('Conference pools'!$H$2/R211+'Conference pools'!$H$3*J211/S211))</x:f>
        <x:v>0</x:v>
      </x:c>
      <x:c r="U211" t="n">
        <x:f>IF(OR(NOT(ISNUMBER(P211)),NOT(ISNUMBER(T211))),"",T211-P211)</x:f>
        <x:v>0</x:v>
      </x:c>
      <x:c r="V211" s="8" t="str">
        <x:f>IF(OR(NOT(ISNUMBER(U211)),P211=0),"",U211/P211)</x:f>
      </x:c>
      <x:c r="W211" t="str">
        <x:f>IF(OR(NOT(ISNUMBER(T211)),NOT(ISNUMBER(K211))),"",T211-K211)</x:f>
      </x:c>
      <x:c r="X211" t="n">
        <x:f>IF(NOT(ISNUMBER(M211)),"",M211/N211)</x:f>
        <x:v>0</x:v>
      </x:c>
    </x:row>
    <x:row r="212">
      <x:c r="A212" t="str">
        <x:v>LINDENWOOD</x:v>
      </x:c>
      <x:c r="B212" t="str">
        <x:v>Lindenwood University</x:v>
      </x:c>
      <x:c r="C212" t="str">
        <x:v>FCS</x:v>
      </x:c>
      <x:c r="D212" t="str">
        <x:v>Ohio Valley Conference</x:v>
      </x:c>
      <x:c r="E212" t="str">
        <x:v>Development Mountain</x:v>
      </x:c>
      <x:c r="F212" t="n">
        <x:v>28</x:v>
      </x:c>
      <x:c r="G212"/>
      <x:c r="H212"/>
      <x:c r="I212" t="n">
        <x:v>31.641</x:v>
      </x:c>
      <x:c r="J212" t="n">
        <x:f>IF(ISNUMBER(I212),MAX(1,I212),1)</x:f>
        <x:v>31.641</x:v>
      </x:c>
      <x:c r="K212"/>
      <x:c r="L212" t="str">
        <x:v>NOT VERIFIED</x:v>
      </x:c>
      <x:c r="M212" t="n">
        <x:f>IF(COUNTIFS('Conference pools'!$A$2:$A$25,D212,'Conference pools'!$D$2:$D$25,"&gt;=0")=0,"",SUMIF('Conference pools'!$A$2:$A$25,D212,'Conference pools'!$D$2:$D$25))</x:f>
        <x:v>0</x:v>
      </x:c>
      <x:c r="N212" t="n">
        <x:f>COUNTIF($D$2:$D$267,D212)</x:f>
        <x:v>9</x:v>
      </x:c>
      <x:c r="O212" t="n">
        <x:f>SUMIF($D$2:$D$267,D212,$J$2:$J$267)</x:f>
        <x:v>298.6623</x:v>
      </x:c>
      <x:c r="P212" t="n">
        <x:f>IF(OR(NOT(ISNUMBER(M212)),O212=0),"",M212*('Conference pools'!$H$2/N212+'Conference pools'!$H$3*J212/O212))</x:f>
        <x:v>0</x:v>
      </x:c>
      <x:c r="Q212" t="n">
        <x:f>IF(COUNTIFS($E$2:$E$267,E212,$X$2:$X$267,"&lt;&gt;")&lt;&gt;COUNTIF($E$2:$E$267,E212),"",SUMIF($E$2:$E$267,E212,$X$2:$X$267))</x:f>
        <x:v>0</x:v>
      </x:c>
      <x:c r="R212" t="n">
        <x:f>COUNTIF($E$2:$E$267,E212)</x:f>
        <x:v>12</x:v>
      </x:c>
      <x:c r="S212" t="n">
        <x:f>SUMIF($E$2:$E$267,E212,$J$2:$J$267)</x:f>
        <x:v>418.42969999999997</x:v>
      </x:c>
      <x:c r="T212" t="n">
        <x:f>IF(OR(NOT(ISNUMBER(Q212)),S212=0),"",Q212*('Conference pools'!$H$2/R212+'Conference pools'!$H$3*J212/S212))</x:f>
        <x:v>0</x:v>
      </x:c>
      <x:c r="U212" t="n">
        <x:f>IF(OR(NOT(ISNUMBER(P212)),NOT(ISNUMBER(T212))),"",T212-P212)</x:f>
        <x:v>0</x:v>
      </x:c>
      <x:c r="V212" s="8" t="str">
        <x:f>IF(OR(NOT(ISNUMBER(U212)),P212=0),"",U212/P212)</x:f>
      </x:c>
      <x:c r="W212" t="str">
        <x:f>IF(OR(NOT(ISNUMBER(T212)),NOT(ISNUMBER(K212))),"",T212-K212)</x:f>
      </x:c>
      <x:c r="X212" t="n">
        <x:f>IF(NOT(ISNUMBER(M212)),"",M212/N212)</x:f>
        <x:v>0</x:v>
      </x:c>
    </x:row>
    <x:row r="213">
      <x:c r="A213" t="str">
        <x:v>NORTH_ALABAMA</x:v>
      </x:c>
      <x:c r="B213" t="str">
        <x:v>University of North Alabama</x:v>
      </x:c>
      <x:c r="C213" t="str">
        <x:v>FCS</x:v>
      </x:c>
      <x:c r="D213" t="str">
        <x:v>United Athletic Conference</x:v>
      </x:c>
      <x:c r="E213" t="str">
        <x:v>Development Mountain</x:v>
      </x:c>
      <x:c r="F213" t="n">
        <x:v>32</x:v>
      </x:c>
      <x:c r="G213"/>
      <x:c r="H213"/>
      <x:c r="I213" t="n">
        <x:v>27.727</x:v>
      </x:c>
      <x:c r="J213" t="n">
        <x:f>IF(ISNUMBER(I213),MAX(1,I213),1)</x:f>
        <x:v>27.727</x:v>
      </x:c>
      <x:c r="K213"/>
      <x:c r="L213" t="str">
        <x:v>NOT VERIFIED</x:v>
      </x:c>
      <x:c r="M213" t="n">
        <x:f>IF(COUNTIFS('Conference pools'!$A$2:$A$25,D213,'Conference pools'!$D$2:$D$25,"&gt;=0")=0,"",SUMIF('Conference pools'!$A$2:$A$25,D213,'Conference pools'!$D$2:$D$25))</x:f>
        <x:v>0</x:v>
      </x:c>
      <x:c r="N213" t="n">
        <x:f>COUNTIF($D$2:$D$267,D213)</x:f>
        <x:v>8</x:v>
      </x:c>
      <x:c r="O213" t="n">
        <x:f>SUMIF($D$2:$D$267,D213,$J$2:$J$267)</x:f>
        <x:v>355.5065</x:v>
      </x:c>
      <x:c r="P213" t="n">
        <x:f>IF(OR(NOT(ISNUMBER(M213)),O213=0),"",M213*('Conference pools'!$H$2/N213+'Conference pools'!$H$3*J213/O213))</x:f>
        <x:v>0</x:v>
      </x:c>
      <x:c r="Q213" t="n">
        <x:f>IF(COUNTIFS($E$2:$E$267,E213,$X$2:$X$267,"&lt;&gt;")&lt;&gt;COUNTIF($E$2:$E$267,E213),"",SUMIF($E$2:$E$267,E213,$X$2:$X$267))</x:f>
        <x:v>0</x:v>
      </x:c>
      <x:c r="R213" t="n">
        <x:f>COUNTIF($E$2:$E$267,E213)</x:f>
        <x:v>12</x:v>
      </x:c>
      <x:c r="S213" t="n">
        <x:f>SUMIF($E$2:$E$267,E213,$J$2:$J$267)</x:f>
        <x:v>418.42969999999997</x:v>
      </x:c>
      <x:c r="T213" t="n">
        <x:f>IF(OR(NOT(ISNUMBER(Q213)),S213=0),"",Q213*('Conference pools'!$H$2/R213+'Conference pools'!$H$3*J213/S213))</x:f>
        <x:v>0</x:v>
      </x:c>
      <x:c r="U213" t="n">
        <x:f>IF(OR(NOT(ISNUMBER(P213)),NOT(ISNUMBER(T213))),"",T213-P213)</x:f>
        <x:v>0</x:v>
      </x:c>
      <x:c r="V213" s="8" t="str">
        <x:f>IF(OR(NOT(ISNUMBER(U213)),P213=0),"",U213/P213)</x:f>
      </x:c>
      <x:c r="W213" t="str">
        <x:f>IF(OR(NOT(ISNUMBER(T213)),NOT(ISNUMBER(K213))),"",T213-K213)</x:f>
      </x:c>
      <x:c r="X213" t="n">
        <x:f>IF(NOT(ISNUMBER(M213)),"",M213/N213)</x:f>
        <x:v>0</x:v>
      </x:c>
    </x:row>
    <x:row r="214">
      <x:c r="A214" t="str">
        <x:v>SOUTHEASTERN_LOUISIANA</x:v>
      </x:c>
      <x:c r="B214" t="str">
        <x:v>Southeastern Louisiana University</x:v>
      </x:c>
      <x:c r="C214" t="str">
        <x:v>FCS</x:v>
      </x:c>
      <x:c r="D214" t="str">
        <x:v>Southland Conference</x:v>
      </x:c>
      <x:c r="E214" t="str">
        <x:v>Development Mountain</x:v>
      </x:c>
      <x:c r="F214" t="n">
        <x:v>9</x:v>
      </x:c>
      <x:c r="G214" t="n">
        <x:v>0.5591</x:v>
      </x:c>
      <x:c r="H214" t="n">
        <x:v>0.4272</x:v>
      </x:c>
      <x:c r="I214" t="n">
        <x:v>46.0145</x:v>
      </x:c>
      <x:c r="J214" t="n">
        <x:f>IF(ISNUMBER(I214),MAX(1,I214),1)</x:f>
        <x:v>46.0145</x:v>
      </x:c>
      <x:c r="K214"/>
      <x:c r="L214" t="str">
        <x:v>NOT VERIFIED</x:v>
      </x:c>
      <x:c r="M214" t="n">
        <x:f>IF(COUNTIFS('Conference pools'!$A$2:$A$25,D214,'Conference pools'!$D$2:$D$25,"&gt;=0")=0,"",SUMIF('Conference pools'!$A$2:$A$25,D214,'Conference pools'!$D$2:$D$25))</x:f>
        <x:v>0</x:v>
      </x:c>
      <x:c r="N214" t="n">
        <x:f>COUNTIF($D$2:$D$267,D214)</x:f>
        <x:v>10</x:v>
      </x:c>
      <x:c r="O214" t="n">
        <x:f>SUMIF($D$2:$D$267,D214,$J$2:$J$267)</x:f>
        <x:v>391.2068</x:v>
      </x:c>
      <x:c r="P214" t="n">
        <x:f>IF(OR(NOT(ISNUMBER(M214)),O214=0),"",M214*('Conference pools'!$H$2/N214+'Conference pools'!$H$3*J214/O214))</x:f>
        <x:v>0</x:v>
      </x:c>
      <x:c r="Q214" t="n">
        <x:f>IF(COUNTIFS($E$2:$E$267,E214,$X$2:$X$267,"&lt;&gt;")&lt;&gt;COUNTIF($E$2:$E$267,E214),"",SUMIF($E$2:$E$267,E214,$X$2:$X$267))</x:f>
        <x:v>0</x:v>
      </x:c>
      <x:c r="R214" t="n">
        <x:f>COUNTIF($E$2:$E$267,E214)</x:f>
        <x:v>12</x:v>
      </x:c>
      <x:c r="S214" t="n">
        <x:f>SUMIF($E$2:$E$267,E214,$J$2:$J$267)</x:f>
        <x:v>418.42969999999997</x:v>
      </x:c>
      <x:c r="T214" t="n">
        <x:f>IF(OR(NOT(ISNUMBER(Q214)),S214=0),"",Q214*('Conference pools'!$H$2/R214+'Conference pools'!$H$3*J214/S214))</x:f>
        <x:v>0</x:v>
      </x:c>
      <x:c r="U214" t="n">
        <x:f>IF(OR(NOT(ISNUMBER(P214)),NOT(ISNUMBER(T214))),"",T214-P214)</x:f>
        <x:v>0</x:v>
      </x:c>
      <x:c r="V214" s="8" t="str">
        <x:f>IF(OR(NOT(ISNUMBER(U214)),P214=0),"",U214/P214)</x:f>
      </x:c>
      <x:c r="W214" t="str">
        <x:f>IF(OR(NOT(ISNUMBER(T214)),NOT(ISNUMBER(K214))),"",T214-K214)</x:f>
      </x:c>
      <x:c r="X214" t="n">
        <x:f>IF(NOT(ISNUMBER(M214)),"",M214/N214)</x:f>
        <x:v>0</x:v>
      </x:c>
    </x:row>
    <x:row r="215">
      <x:c r="A215" t="str">
        <x:v>ARKANSAS_PINE_BLUFF</x:v>
      </x:c>
      <x:c r="B215" t="str">
        <x:v>University of Arkansas at Pine Bluff</x:v>
      </x:c>
      <x:c r="C215" t="str">
        <x:v>FCS</x:v>
      </x:c>
      <x:c r="D215" t="str">
        <x:v>Southwestern Athletic Conference</x:v>
      </x:c>
      <x:c r="E215" t="str">
        <x:v>Development Mountain</x:v>
      </x:c>
      <x:c r="F215" t="n">
        <x:v>33</x:v>
      </x:c>
      <x:c r="G215" t="n">
        <x:v>0.2421</x:v>
      </x:c>
      <x:c r="H215" t="n">
        <x:v>0.5053</x:v>
      </x:c>
      <x:c r="I215" t="n">
        <x:v>26.1923</x:v>
      </x:c>
      <x:c r="J215" t="n">
        <x:f>IF(ISNUMBER(I215),MAX(1,I215),1)</x:f>
        <x:v>26.1923</x:v>
      </x:c>
      <x:c r="K215"/>
      <x:c r="L215" t="str">
        <x:v>NOT VERIFIED</x:v>
      </x:c>
      <x:c r="M215" t="n">
        <x:f>IF(COUNTIFS('Conference pools'!$A$2:$A$25,D215,'Conference pools'!$D$2:$D$25,"&gt;=0")=0,"",SUMIF('Conference pools'!$A$2:$A$25,D215,'Conference pools'!$D$2:$D$25))</x:f>
        <x:v>0</x:v>
      </x:c>
      <x:c r="N215" t="n">
        <x:f>COUNTIF($D$2:$D$267,D215)</x:f>
        <x:v>12</x:v>
      </x:c>
      <x:c r="O215" t="n">
        <x:f>SUMIF($D$2:$D$267,D215,$J$2:$J$267)</x:f>
        <x:v>469.56230000000005</x:v>
      </x:c>
      <x:c r="P215" t="n">
        <x:f>IF(OR(NOT(ISNUMBER(M215)),O215=0),"",M215*('Conference pools'!$H$2/N215+'Conference pools'!$H$3*J215/O215))</x:f>
        <x:v>0</x:v>
      </x:c>
      <x:c r="Q215" t="n">
        <x:f>IF(COUNTIFS($E$2:$E$267,E215,$X$2:$X$267,"&lt;&gt;")&lt;&gt;COUNTIF($E$2:$E$267,E215),"",SUMIF($E$2:$E$267,E215,$X$2:$X$267))</x:f>
        <x:v>0</x:v>
      </x:c>
      <x:c r="R215" t="n">
        <x:f>COUNTIF($E$2:$E$267,E215)</x:f>
        <x:v>12</x:v>
      </x:c>
      <x:c r="S215" t="n">
        <x:f>SUMIF($E$2:$E$267,E215,$J$2:$J$267)</x:f>
        <x:v>418.42969999999997</x:v>
      </x:c>
      <x:c r="T215" t="n">
        <x:f>IF(OR(NOT(ISNUMBER(Q215)),S215=0),"",Q215*('Conference pools'!$H$2/R215+'Conference pools'!$H$3*J215/S215))</x:f>
        <x:v>0</x:v>
      </x:c>
      <x:c r="U215" t="n">
        <x:f>IF(OR(NOT(ISNUMBER(P215)),NOT(ISNUMBER(T215))),"",T215-P215)</x:f>
        <x:v>0</x:v>
      </x:c>
      <x:c r="V215" s="8" t="str">
        <x:f>IF(OR(NOT(ISNUMBER(U215)),P215=0),"",U215/P215)</x:f>
      </x:c>
      <x:c r="W215" t="str">
        <x:f>IF(OR(NOT(ISNUMBER(T215)),NOT(ISNUMBER(K215))),"",T215-K215)</x:f>
      </x:c>
      <x:c r="X215" t="n">
        <x:f>IF(NOT(ISNUMBER(M215)),"",M215/N215)</x:f>
        <x:v>0</x:v>
      </x:c>
    </x:row>
    <x:row r="216">
      <x:c r="A216" t="str">
        <x:v>MURRAY_STATE</x:v>
      </x:c>
      <x:c r="B216" t="str">
        <x:v>Murray State University</x:v>
      </x:c>
      <x:c r="C216" t="str">
        <x:v>FCS</x:v>
      </x:c>
      <x:c r="D216" t="str">
        <x:v>Missouri Valley Football Conference</x:v>
      </x:c>
      <x:c r="E216" t="str">
        <x:v>Development Mountain</x:v>
      </x:c>
      <x:c r="F216" t="n">
        <x:v>34</x:v>
      </x:c>
      <x:c r="G216" t="n">
        <x:v>0.1067</x:v>
      </x:c>
      <x:c r="H216" t="n">
        <x:v>0.54</x:v>
      </x:c>
      <x:c r="I216" t="n">
        <x:v>25.0756</x:v>
      </x:c>
      <x:c r="J216" t="n">
        <x:f>IF(ISNUMBER(I216),MAX(1,I216),1)</x:f>
        <x:v>25.0756</x:v>
      </x:c>
      <x:c r="K216"/>
      <x:c r="L216" t="str">
        <x:v>NOT VERIFIED</x:v>
      </x:c>
      <x:c r="M216" t="n">
        <x:f>IF(COUNTIFS('Conference pools'!$A$2:$A$25,D216,'Conference pools'!$D$2:$D$25,"&gt;=0")=0,"",SUMIF('Conference pools'!$A$2:$A$25,D216,'Conference pools'!$D$2:$D$25))</x:f>
        <x:v>0</x:v>
      </x:c>
      <x:c r="N216" t="n">
        <x:f>COUNTIF($D$2:$D$267,D216)</x:f>
        <x:v>9</x:v>
      </x:c>
      <x:c r="O216" t="n">
        <x:f>SUMIF($D$2:$D$267,D216,$J$2:$J$267)</x:f>
        <x:v>406.3407</x:v>
      </x:c>
      <x:c r="P216" t="n">
        <x:f>IF(OR(NOT(ISNUMBER(M216)),O216=0),"",M216*('Conference pools'!$H$2/N216+'Conference pools'!$H$3*J216/O216))</x:f>
        <x:v>0</x:v>
      </x:c>
      <x:c r="Q216" t="n">
        <x:f>IF(COUNTIFS($E$2:$E$267,E216,$X$2:$X$267,"&lt;&gt;")&lt;&gt;COUNTIF($E$2:$E$267,E216),"",SUMIF($E$2:$E$267,E216,$X$2:$X$267))</x:f>
        <x:v>0</x:v>
      </x:c>
      <x:c r="R216" t="n">
        <x:f>COUNTIF($E$2:$E$267,E216)</x:f>
        <x:v>12</x:v>
      </x:c>
      <x:c r="S216" t="n">
        <x:f>SUMIF($E$2:$E$267,E216,$J$2:$J$267)</x:f>
        <x:v>418.42969999999997</x:v>
      </x:c>
      <x:c r="T216" t="n">
        <x:f>IF(OR(NOT(ISNUMBER(Q216)),S216=0),"",Q216*('Conference pools'!$H$2/R216+'Conference pools'!$H$3*J216/S216))</x:f>
        <x:v>0</x:v>
      </x:c>
      <x:c r="U216" t="n">
        <x:f>IF(OR(NOT(ISNUMBER(P216)),NOT(ISNUMBER(T216))),"",T216-P216)</x:f>
        <x:v>0</x:v>
      </x:c>
      <x:c r="V216" s="8" t="str">
        <x:f>IF(OR(NOT(ISNUMBER(U216)),P216=0),"",U216/P216)</x:f>
      </x:c>
      <x:c r="W216" t="str">
        <x:f>IF(OR(NOT(ISNUMBER(T216)),NOT(ISNUMBER(K216))),"",T216-K216)</x:f>
      </x:c>
      <x:c r="X216" t="n">
        <x:f>IF(NOT(ISNUMBER(M216)),"",M216/N216)</x:f>
        <x:v>0</x:v>
      </x:c>
    </x:row>
    <x:row r="217">
      <x:c r="A217" t="str">
        <x:v>MISSISSIPPI_VALLEY</x:v>
      </x:c>
      <x:c r="B217" t="str">
        <x:v>Mississippi Valley State University</x:v>
      </x:c>
      <x:c r="C217" t="str">
        <x:v>FCS</x:v>
      </x:c>
      <x:c r="D217" t="str">
        <x:v>Southwestern Athletic Conference</x:v>
      </x:c>
      <x:c r="E217" t="str">
        <x:v>Development Mountain</x:v>
      </x:c>
      <x:c r="F217" t="n">
        <x:v>36</x:v>
      </x:c>
      <x:c r="G217" t="n">
        <x:v>0.1194</x:v>
      </x:c>
      <x:c r="H217" t="n">
        <x:v>0.5241</x:v>
      </x:c>
      <x:c r="I217" t="n">
        <x:v>21.2181</x:v>
      </x:c>
      <x:c r="J217" t="n">
        <x:f>IF(ISNUMBER(I217),MAX(1,I217),1)</x:f>
        <x:v>21.2181</x:v>
      </x:c>
      <x:c r="K217"/>
      <x:c r="L217" t="str">
        <x:v>NOT VERIFIED</x:v>
      </x:c>
      <x:c r="M217" t="n">
        <x:f>IF(COUNTIFS('Conference pools'!$A$2:$A$25,D217,'Conference pools'!$D$2:$D$25,"&gt;=0")=0,"",SUMIF('Conference pools'!$A$2:$A$25,D217,'Conference pools'!$D$2:$D$25))</x:f>
        <x:v>0</x:v>
      </x:c>
      <x:c r="N217" t="n">
        <x:f>COUNTIF($D$2:$D$267,D217)</x:f>
        <x:v>12</x:v>
      </x:c>
      <x:c r="O217" t="n">
        <x:f>SUMIF($D$2:$D$267,D217,$J$2:$J$267)</x:f>
        <x:v>469.56230000000005</x:v>
      </x:c>
      <x:c r="P217" t="n">
        <x:f>IF(OR(NOT(ISNUMBER(M217)),O217=0),"",M217*('Conference pools'!$H$2/N217+'Conference pools'!$H$3*J217/O217))</x:f>
        <x:v>0</x:v>
      </x:c>
      <x:c r="Q217" t="n">
        <x:f>IF(COUNTIFS($E$2:$E$267,E217,$X$2:$X$267,"&lt;&gt;")&lt;&gt;COUNTIF($E$2:$E$267,E217),"",SUMIF($E$2:$E$267,E217,$X$2:$X$267))</x:f>
        <x:v>0</x:v>
      </x:c>
      <x:c r="R217" t="n">
        <x:f>COUNTIF($E$2:$E$267,E217)</x:f>
        <x:v>12</x:v>
      </x:c>
      <x:c r="S217" t="n">
        <x:f>SUMIF($E$2:$E$267,E217,$J$2:$J$267)</x:f>
        <x:v>418.42969999999997</x:v>
      </x:c>
      <x:c r="T217" t="n">
        <x:f>IF(OR(NOT(ISNUMBER(Q217)),S217=0),"",Q217*('Conference pools'!$H$2/R217+'Conference pools'!$H$3*J217/S217))</x:f>
        <x:v>0</x:v>
      </x:c>
      <x:c r="U217" t="n">
        <x:f>IF(OR(NOT(ISNUMBER(P217)),NOT(ISNUMBER(T217))),"",T217-P217)</x:f>
        <x:v>0</x:v>
      </x:c>
      <x:c r="V217" s="8" t="str">
        <x:f>IF(OR(NOT(ISNUMBER(U217)),P217=0),"",U217/P217)</x:f>
      </x:c>
      <x:c r="W217" t="str">
        <x:f>IF(OR(NOT(ISNUMBER(T217)),NOT(ISNUMBER(K217))),"",T217-K217)</x:f>
      </x:c>
      <x:c r="X217" t="n">
        <x:f>IF(NOT(ISNUMBER(M217)),"",M217/N217)</x:f>
        <x:v>0</x:v>
      </x:c>
    </x:row>
    <x:row r="218">
      <x:c r="A218" t="str">
        <x:v>NORTHWESTERN_STATE</x:v>
      </x:c>
      <x:c r="B218" t="str">
        <x:v>Northwestern State University</x:v>
      </x:c>
      <x:c r="C218" t="str">
        <x:v>FCS</x:v>
      </x:c>
      <x:c r="D218" t="str">
        <x:v>Southland Conference</x:v>
      </x:c>
      <x:c r="E218" t="str">
        <x:v>Development Mountain</x:v>
      </x:c>
      <x:c r="F218" t="n">
        <x:v>37</x:v>
      </x:c>
      <x:c r="G218" t="n">
        <x:v>0.0342</x:v>
      </x:c>
      <x:c r="H218" t="n">
        <x:v>0.4673</x:v>
      </x:c>
      <x:c r="I218" t="n">
        <x:v>19.2912</x:v>
      </x:c>
      <x:c r="J218" t="n">
        <x:f>IF(ISNUMBER(I218),MAX(1,I218),1)</x:f>
        <x:v>19.2912</x:v>
      </x:c>
      <x:c r="K218"/>
      <x:c r="L218" t="str">
        <x:v>NOT VERIFIED</x:v>
      </x:c>
      <x:c r="M218" t="n">
        <x:f>IF(COUNTIFS('Conference pools'!$A$2:$A$25,D218,'Conference pools'!$D$2:$D$25,"&gt;=0")=0,"",SUMIF('Conference pools'!$A$2:$A$25,D218,'Conference pools'!$D$2:$D$25))</x:f>
        <x:v>0</x:v>
      </x:c>
      <x:c r="N218" t="n">
        <x:f>COUNTIF($D$2:$D$267,D218)</x:f>
        <x:v>10</x:v>
      </x:c>
      <x:c r="O218" t="n">
        <x:f>SUMIF($D$2:$D$267,D218,$J$2:$J$267)</x:f>
        <x:v>391.2068</x:v>
      </x:c>
      <x:c r="P218" t="n">
        <x:f>IF(OR(NOT(ISNUMBER(M218)),O218=0),"",M218*('Conference pools'!$H$2/N218+'Conference pools'!$H$3*J218/O218))</x:f>
        <x:v>0</x:v>
      </x:c>
      <x:c r="Q218" t="n">
        <x:f>IF(COUNTIFS($E$2:$E$267,E218,$X$2:$X$267,"&lt;&gt;")&lt;&gt;COUNTIF($E$2:$E$267,E218),"",SUMIF($E$2:$E$267,E218,$X$2:$X$267))</x:f>
        <x:v>0</x:v>
      </x:c>
      <x:c r="R218" t="n">
        <x:f>COUNTIF($E$2:$E$267,E218)</x:f>
        <x:v>12</x:v>
      </x:c>
      <x:c r="S218" t="n">
        <x:f>SUMIF($E$2:$E$267,E218,$J$2:$J$267)</x:f>
        <x:v>418.42969999999997</x:v>
      </x:c>
      <x:c r="T218" t="n">
        <x:f>IF(OR(NOT(ISNUMBER(Q218)),S218=0),"",Q218*('Conference pools'!$H$2/R218+'Conference pools'!$H$3*J218/S218))</x:f>
        <x:v>0</x:v>
      </x:c>
      <x:c r="U218" t="n">
        <x:f>IF(OR(NOT(ISNUMBER(P218)),NOT(ISNUMBER(T218))),"",T218-P218)</x:f>
        <x:v>0</x:v>
      </x:c>
      <x:c r="V218" s="8" t="str">
        <x:f>IF(OR(NOT(ISNUMBER(U218)),P218=0),"",U218/P218)</x:f>
      </x:c>
      <x:c r="W218" t="str">
        <x:f>IF(OR(NOT(ISNUMBER(T218)),NOT(ISNUMBER(K218))),"",T218-K218)</x:f>
      </x:c>
      <x:c r="X218" t="n">
        <x:f>IF(NOT(ISNUMBER(M218)),"",M218/N218)</x:f>
        <x:v>0</x:v>
      </x:c>
    </x:row>
    <x:row r="219">
      <x:c r="A219" t="str">
        <x:v>SOUTHEAST_MISSOURI</x:v>
      </x:c>
      <x:c r="B219" t="str">
        <x:v>Southeast Missouri State University</x:v>
      </x:c>
      <x:c r="C219" t="str">
        <x:v>FCS</x:v>
      </x:c>
      <x:c r="D219" t="str">
        <x:v>Ohio Valley Conference</x:v>
      </x:c>
      <x:c r="E219" t="str">
        <x:v>Development Mountain</x:v>
      </x:c>
      <x:c r="F219" t="n">
        <x:v>14</x:v>
      </x:c>
      <x:c r="G219" t="n">
        <x:v>0.4734</x:v>
      </x:c>
      <x:c r="H219" t="n">
        <x:v>0.4581</x:v>
      </x:c>
      <x:c r="I219" t="n">
        <x:v>41.9661</x:v>
      </x:c>
      <x:c r="J219" t="n">
        <x:f>IF(ISNUMBER(I219),MAX(1,I219),1)</x:f>
        <x:v>41.9661</x:v>
      </x:c>
      <x:c r="K219"/>
      <x:c r="L219" t="str">
        <x:v>NOT VERIFIED</x:v>
      </x:c>
      <x:c r="M219" t="n">
        <x:f>IF(COUNTIFS('Conference pools'!$A$2:$A$25,D219,'Conference pools'!$D$2:$D$25,"&gt;=0")=0,"",SUMIF('Conference pools'!$A$2:$A$25,D219,'Conference pools'!$D$2:$D$25))</x:f>
        <x:v>0</x:v>
      </x:c>
      <x:c r="N219" t="n">
        <x:f>COUNTIF($D$2:$D$267,D219)</x:f>
        <x:v>9</x:v>
      </x:c>
      <x:c r="O219" t="n">
        <x:f>SUMIF($D$2:$D$267,D219,$J$2:$J$267)</x:f>
        <x:v>298.6623</x:v>
      </x:c>
      <x:c r="P219" t="n">
        <x:f>IF(OR(NOT(ISNUMBER(M219)),O219=0),"",M219*('Conference pools'!$H$2/N219+'Conference pools'!$H$3*J219/O219))</x:f>
        <x:v>0</x:v>
      </x:c>
      <x:c r="Q219" t="n">
        <x:f>IF(COUNTIFS($E$2:$E$267,E219,$X$2:$X$267,"&lt;&gt;")&lt;&gt;COUNTIF($E$2:$E$267,E219),"",SUMIF($E$2:$E$267,E219,$X$2:$X$267))</x:f>
        <x:v>0</x:v>
      </x:c>
      <x:c r="R219" t="n">
        <x:f>COUNTIF($E$2:$E$267,E219)</x:f>
        <x:v>12</x:v>
      </x:c>
      <x:c r="S219" t="n">
        <x:f>SUMIF($E$2:$E$267,E219,$J$2:$J$267)</x:f>
        <x:v>418.42969999999997</x:v>
      </x:c>
      <x:c r="T219" t="n">
        <x:f>IF(OR(NOT(ISNUMBER(Q219)),S219=0),"",Q219*('Conference pools'!$H$2/R219+'Conference pools'!$H$3*J219/S219))</x:f>
        <x:v>0</x:v>
      </x:c>
      <x:c r="U219" t="n">
        <x:f>IF(OR(NOT(ISNUMBER(P219)),NOT(ISNUMBER(T219))),"",T219-P219)</x:f>
        <x:v>0</x:v>
      </x:c>
      <x:c r="V219" s="8" t="str">
        <x:f>IF(OR(NOT(ISNUMBER(U219)),P219=0),"",U219/P219)</x:f>
      </x:c>
      <x:c r="W219" t="str">
        <x:f>IF(OR(NOT(ISNUMBER(T219)),NOT(ISNUMBER(K219))),"",T219-K219)</x:f>
      </x:c>
      <x:c r="X219" t="n">
        <x:f>IF(NOT(ISNUMBER(M219)),"",M219/N219)</x:f>
        <x:v>0</x:v>
      </x:c>
    </x:row>
    <x:row r="220">
      <x:c r="A220" t="str">
        <x:v>WEST_FLORIDA</x:v>
      </x:c>
      <x:c r="B220" t="str">
        <x:v>University of West Florida</x:v>
      </x:c>
      <x:c r="C220" t="str">
        <x:v>FCS</x:v>
      </x:c>
      <x:c r="D220" t="str">
        <x:v>United Athletic Conference</x:v>
      </x:c>
      <x:c r="E220" t="str">
        <x:v>Development Mountain</x:v>
      </x:c>
      <x:c r="F220" t="n">
        <x:v>6</x:v>
      </x:c>
      <x:c r="G220"/>
      <x:c r="H220"/>
      <x:c r="I220" t="n">
        <x:v>50</x:v>
      </x:c>
      <x:c r="J220" t="n">
        <x:f>IF(ISNUMBER(I220),MAX(1,I220),1)</x:f>
        <x:v>50</x:v>
      </x:c>
      <x:c r="K220"/>
      <x:c r="L220" t="str">
        <x:v>NOT VERIFIED</x:v>
      </x:c>
      <x:c r="M220" t="n">
        <x:f>IF(COUNTIFS('Conference pools'!$A$2:$A$25,D220,'Conference pools'!$D$2:$D$25,"&gt;=0")=0,"",SUMIF('Conference pools'!$A$2:$A$25,D220,'Conference pools'!$D$2:$D$25))</x:f>
        <x:v>0</x:v>
      </x:c>
      <x:c r="N220" t="n">
        <x:f>COUNTIF($D$2:$D$267,D220)</x:f>
        <x:v>8</x:v>
      </x:c>
      <x:c r="O220" t="n">
        <x:f>SUMIF($D$2:$D$267,D220,$J$2:$J$267)</x:f>
        <x:v>355.5065</x:v>
      </x:c>
      <x:c r="P220" t="n">
        <x:f>IF(OR(NOT(ISNUMBER(M220)),O220=0),"",M220*('Conference pools'!$H$2/N220+'Conference pools'!$H$3*J220/O220))</x:f>
        <x:v>0</x:v>
      </x:c>
      <x:c r="Q220" t="n">
        <x:f>IF(COUNTIFS($E$2:$E$267,E220,$X$2:$X$267,"&lt;&gt;")&lt;&gt;COUNTIF($E$2:$E$267,E220),"",SUMIF($E$2:$E$267,E220,$X$2:$X$267))</x:f>
        <x:v>0</x:v>
      </x:c>
      <x:c r="R220" t="n">
        <x:f>COUNTIF($E$2:$E$267,E220)</x:f>
        <x:v>12</x:v>
      </x:c>
      <x:c r="S220" t="n">
        <x:f>SUMIF($E$2:$E$267,E220,$J$2:$J$267)</x:f>
        <x:v>418.42969999999997</x:v>
      </x:c>
      <x:c r="T220" t="n">
        <x:f>IF(OR(NOT(ISNUMBER(Q220)),S220=0),"",Q220*('Conference pools'!$H$2/R220+'Conference pools'!$H$3*J220/S220))</x:f>
        <x:v>0</x:v>
      </x:c>
      <x:c r="U220" t="n">
        <x:f>IF(OR(NOT(ISNUMBER(P220)),NOT(ISNUMBER(T220))),"",T220-P220)</x:f>
        <x:v>0</x:v>
      </x:c>
      <x:c r="V220" s="8" t="str">
        <x:f>IF(OR(NOT(ISNUMBER(U220)),P220=0),"",U220/P220)</x:f>
      </x:c>
      <x:c r="W220" t="str">
        <x:f>IF(OR(NOT(ISNUMBER(T220)),NOT(ISNUMBER(K220))),"",T220-K220)</x:f>
      </x:c>
      <x:c r="X220" t="n">
        <x:f>IF(NOT(ISNUMBER(M220)),"",M220/N220)</x:f>
        <x:v>0</x:v>
      </x:c>
    </x:row>
    <x:row r="221">
      <x:c r="A221" t="str">
        <x:v>WEST_GEORGIA</x:v>
      </x:c>
      <x:c r="B221" t="str">
        <x:v>University of West Georgia</x:v>
      </x:c>
      <x:c r="C221" t="str">
        <x:v>FCS</x:v>
      </x:c>
      <x:c r="D221" t="str">
        <x:v>United Athletic Conference</x:v>
      </x:c>
      <x:c r="E221" t="str">
        <x:v>Development Mountain</x:v>
      </x:c>
      <x:c r="F221" t="n">
        <x:v>13</x:v>
      </x:c>
      <x:c r="G221"/>
      <x:c r="H221"/>
      <x:c r="I221" t="n">
        <x:v>42.524</x:v>
      </x:c>
      <x:c r="J221" t="n">
        <x:f>IF(ISNUMBER(I221),MAX(1,I221),1)</x:f>
        <x:v>42.524</x:v>
      </x:c>
      <x:c r="K221"/>
      <x:c r="L221" t="str">
        <x:v>NOT VERIFIED</x:v>
      </x:c>
      <x:c r="M221" t="n">
        <x:f>IF(COUNTIFS('Conference pools'!$A$2:$A$25,D221,'Conference pools'!$D$2:$D$25,"&gt;=0")=0,"",SUMIF('Conference pools'!$A$2:$A$25,D221,'Conference pools'!$D$2:$D$25))</x:f>
        <x:v>0</x:v>
      </x:c>
      <x:c r="N221" t="n">
        <x:f>COUNTIF($D$2:$D$267,D221)</x:f>
        <x:v>8</x:v>
      </x:c>
      <x:c r="O221" t="n">
        <x:f>SUMIF($D$2:$D$267,D221,$J$2:$J$267)</x:f>
        <x:v>355.5065</x:v>
      </x:c>
      <x:c r="P221" t="n">
        <x:f>IF(OR(NOT(ISNUMBER(M221)),O221=0),"",M221*('Conference pools'!$H$2/N221+'Conference pools'!$H$3*J221/O221))</x:f>
        <x:v>0</x:v>
      </x:c>
      <x:c r="Q221" t="n">
        <x:f>IF(COUNTIFS($E$2:$E$267,E221,$X$2:$X$267,"&lt;&gt;")&lt;&gt;COUNTIF($E$2:$E$267,E221),"",SUMIF($E$2:$E$267,E221,$X$2:$X$267))</x:f>
        <x:v>0</x:v>
      </x:c>
      <x:c r="R221" t="n">
        <x:f>COUNTIF($E$2:$E$267,E221)</x:f>
        <x:v>12</x:v>
      </x:c>
      <x:c r="S221" t="n">
        <x:f>SUMIF($E$2:$E$267,E221,$J$2:$J$267)</x:f>
        <x:v>418.42969999999997</x:v>
      </x:c>
      <x:c r="T221" t="n">
        <x:f>IF(OR(NOT(ISNUMBER(Q221)),S221=0),"",Q221*('Conference pools'!$H$2/R221+'Conference pools'!$H$3*J221/S221))</x:f>
        <x:v>0</x:v>
      </x:c>
      <x:c r="U221" t="n">
        <x:f>IF(OR(NOT(ISNUMBER(P221)),NOT(ISNUMBER(T221))),"",T221-P221)</x:f>
        <x:v>0</x:v>
      </x:c>
      <x:c r="V221" s="8" t="str">
        <x:f>IF(OR(NOT(ISNUMBER(U221)),P221=0),"",U221/P221)</x:f>
      </x:c>
      <x:c r="W221" t="str">
        <x:f>IF(OR(NOT(ISNUMBER(T221)),NOT(ISNUMBER(K221))),"",T221-K221)</x:f>
      </x:c>
      <x:c r="X221" t="n">
        <x:f>IF(NOT(ISNUMBER(M221)),"",M221/N221)</x:f>
        <x:v>0</x:v>
      </x:c>
    </x:row>
    <x:row r="222">
      <x:c r="A222" t="str">
        <x:v>CENTRAL_CONNECTICUT</x:v>
      </x:c>
      <x:c r="B222" t="str">
        <x:v>Central Connecticut State University</x:v>
      </x:c>
      <x:c r="C222" t="str">
        <x:v>FCS</x:v>
      </x:c>
      <x:c r="D222" t="str">
        <x:v>Northeast Conference</x:v>
      </x:c>
      <x:c r="E222" t="str">
        <x:v>Development Northeast</x:v>
      </x:c>
      <x:c r="F222" t="n">
        <x:v>16</x:v>
      </x:c>
      <x:c r="G222" t="n">
        <x:v>0.5115</x:v>
      </x:c>
      <x:c r="H222" t="n">
        <x:v>0.4247</x:v>
      </x:c>
      <x:c r="I222" t="n">
        <x:v>40.2768</x:v>
      </x:c>
      <x:c r="J222" t="n">
        <x:f>IF(ISNUMBER(I222),MAX(1,I222),1)</x:f>
        <x:v>40.2768</x:v>
      </x:c>
      <x:c r="K222"/>
      <x:c r="L222" t="str">
        <x:v>NOT VERIFIED</x:v>
      </x:c>
      <x:c r="M222" t="n">
        <x:f>IF(COUNTIFS('Conference pools'!$A$2:$A$25,D222,'Conference pools'!$D$2:$D$25,"&gt;=0")=0,"",SUMIF('Conference pools'!$A$2:$A$25,D222,'Conference pools'!$D$2:$D$25))</x:f>
        <x:v>0</x:v>
      </x:c>
      <x:c r="N222" t="n">
        <x:f>COUNTIF($D$2:$D$267,D222)</x:f>
        <x:v>8</x:v>
      </x:c>
      <x:c r="O222" t="n">
        <x:f>SUMIF($D$2:$D$267,D222,$J$2:$J$267)</x:f>
        <x:v>291.4439</x:v>
      </x:c>
      <x:c r="P222" t="n">
        <x:f>IF(OR(NOT(ISNUMBER(M222)),O222=0),"",M222*('Conference pools'!$H$2/N222+'Conference pools'!$H$3*J222/O222))</x:f>
        <x:v>0</x:v>
      </x:c>
      <x:c r="Q222" t="n">
        <x:f>IF(COUNTIFS($E$2:$E$267,E222,$X$2:$X$267,"&lt;&gt;")&lt;&gt;COUNTIF($E$2:$E$267,E222),"",SUMIF($E$2:$E$267,E222,$X$2:$X$267))</x:f>
        <x:v>0</x:v>
      </x:c>
      <x:c r="R222" t="n">
        <x:f>COUNTIF($E$2:$E$267,E222)</x:f>
        <x:v>11</x:v>
      </x:c>
      <x:c r="S222" t="n">
        <x:f>SUMIF($E$2:$E$267,E222,$J$2:$J$267)</x:f>
        <x:v>401.8218000000001</x:v>
      </x:c>
      <x:c r="T222" t="n">
        <x:f>IF(OR(NOT(ISNUMBER(Q222)),S222=0),"",Q222*('Conference pools'!$H$2/R222+'Conference pools'!$H$3*J222/S222))</x:f>
        <x:v>0</x:v>
      </x:c>
      <x:c r="U222" t="n">
        <x:f>IF(OR(NOT(ISNUMBER(P222)),NOT(ISNUMBER(T222))),"",T222-P222)</x:f>
        <x:v>0</x:v>
      </x:c>
      <x:c r="V222" s="8" t="str">
        <x:f>IF(OR(NOT(ISNUMBER(U222)),P222=0),"",U222/P222)</x:f>
      </x:c>
      <x:c r="W222" t="str">
        <x:f>IF(OR(NOT(ISNUMBER(T222)),NOT(ISNUMBER(K222))),"",T222-K222)</x:f>
      </x:c>
      <x:c r="X222" t="n">
        <x:f>IF(NOT(ISNUMBER(M222)),"",M222/N222)</x:f>
        <x:v>0</x:v>
      </x:c>
    </x:row>
    <x:row r="223">
      <x:c r="A223" t="str">
        <x:v>BROWN</x:v>
      </x:c>
      <x:c r="B223" t="str">
        <x:v>Brown University</x:v>
      </x:c>
      <x:c r="C223" t="str">
        <x:v>FCS</x:v>
      </x:c>
      <x:c r="D223" t="str">
        <x:v>Ivy League</x:v>
      </x:c>
      <x:c r="E223" t="str">
        <x:v>Development Northeast</x:v>
      </x:c>
      <x:c r="F223" t="n">
        <x:v>19</x:v>
      </x:c>
      <x:c r="G223" t="n">
        <x:v>0.431</x:v>
      </x:c>
      <x:c r="H223" t="n">
        <x:v>0.5338</x:v>
      </x:c>
      <x:c r="I223" t="n">
        <x:v>37.565</x:v>
      </x:c>
      <x:c r="J223" t="n">
        <x:f>IF(ISNUMBER(I223),MAX(1,I223),1)</x:f>
        <x:v>37.565</x:v>
      </x:c>
      <x:c r="K223"/>
      <x:c r="L223" t="str">
        <x:v>NOT VERIFIED</x:v>
      </x:c>
      <x:c r="M223" t="n">
        <x:f>IF(COUNTIFS('Conference pools'!$A$2:$A$25,D223,'Conference pools'!$D$2:$D$25,"&gt;=0")=0,"",SUMIF('Conference pools'!$A$2:$A$25,D223,'Conference pools'!$D$2:$D$25))</x:f>
        <x:v>0</x:v>
      </x:c>
      <x:c r="N223" t="n">
        <x:f>COUNTIF($D$2:$D$267,D223)</x:f>
        <x:v>8</x:v>
      </x:c>
      <x:c r="O223" t="n">
        <x:f>SUMIF($D$2:$D$267,D223,$J$2:$J$267)</x:f>
        <x:v>364.86990000000003</x:v>
      </x:c>
      <x:c r="P223" t="n">
        <x:f>IF(OR(NOT(ISNUMBER(M223)),O223=0),"",M223*('Conference pools'!$H$2/N223+'Conference pools'!$H$3*J223/O223))</x:f>
        <x:v>0</x:v>
      </x:c>
      <x:c r="Q223" t="n">
        <x:f>IF(COUNTIFS($E$2:$E$267,E223,$X$2:$X$267,"&lt;&gt;")&lt;&gt;COUNTIF($E$2:$E$267,E223),"",SUMIF($E$2:$E$267,E223,$X$2:$X$267))</x:f>
        <x:v>0</x:v>
      </x:c>
      <x:c r="R223" t="n">
        <x:f>COUNTIF($E$2:$E$267,E223)</x:f>
        <x:v>11</x:v>
      </x:c>
      <x:c r="S223" t="n">
        <x:f>SUMIF($E$2:$E$267,E223,$J$2:$J$267)</x:f>
        <x:v>401.8218000000001</x:v>
      </x:c>
      <x:c r="T223" t="n">
        <x:f>IF(OR(NOT(ISNUMBER(Q223)),S223=0),"",Q223*('Conference pools'!$H$2/R223+'Conference pools'!$H$3*J223/S223))</x:f>
        <x:v>0</x:v>
      </x:c>
      <x:c r="U223" t="n">
        <x:f>IF(OR(NOT(ISNUMBER(P223)),NOT(ISNUMBER(T223))),"",T223-P223)</x:f>
        <x:v>0</x:v>
      </x:c>
      <x:c r="V223" s="8" t="str">
        <x:f>IF(OR(NOT(ISNUMBER(U223)),P223=0),"",U223/P223)</x:f>
      </x:c>
      <x:c r="W223" t="str">
        <x:f>IF(OR(NOT(ISNUMBER(T223)),NOT(ISNUMBER(K223))),"",T223-K223)</x:f>
      </x:c>
      <x:c r="X223" t="n">
        <x:f>IF(NOT(ISNUMBER(M223)),"",M223/N223)</x:f>
        <x:v>0</x:v>
      </x:c>
    </x:row>
    <x:row r="224">
      <x:c r="A224" t="str">
        <x:v>MARIST</x:v>
      </x:c>
      <x:c r="B224" t="str">
        <x:v>Marist College</x:v>
      </x:c>
      <x:c r="C224" t="str">
        <x:v>FCS</x:v>
      </x:c>
      <x:c r="D224" t="str">
        <x:v>Pioneer Football League</x:v>
      </x:c>
      <x:c r="E224" t="str">
        <x:v>Development Northeast</x:v>
      </x:c>
      <x:c r="F224" t="n">
        <x:v>30</x:v>
      </x:c>
      <x:c r="G224" t="n">
        <x:v>0.2954</x:v>
      </x:c>
      <x:c r="H224" t="n">
        <x:v>0.489</x:v>
      </x:c>
      <x:c r="I224" t="n">
        <x:v>29.632</x:v>
      </x:c>
      <x:c r="J224" t="n">
        <x:f>IF(ISNUMBER(I224),MAX(1,I224),1)</x:f>
        <x:v>29.632</x:v>
      </x:c>
      <x:c r="K224"/>
      <x:c r="L224" t="str">
        <x:v>NOT VERIFIED</x:v>
      </x:c>
      <x:c r="M224" t="n">
        <x:f>IF(COUNTIFS('Conference pools'!$A$2:$A$25,D224,'Conference pools'!$D$2:$D$25,"&gt;=0")=0,"",SUMIF('Conference pools'!$A$2:$A$25,D224,'Conference pools'!$D$2:$D$25))</x:f>
        <x:v>0</x:v>
      </x:c>
      <x:c r="N224" t="n">
        <x:f>COUNTIF($D$2:$D$267,D224)</x:f>
        <x:v>11</x:v>
      </x:c>
      <x:c r="O224" t="n">
        <x:f>SUMIF($D$2:$D$267,D224,$J$2:$J$267)</x:f>
        <x:v>418.72029999999995</x:v>
      </x:c>
      <x:c r="P224" t="n">
        <x:f>IF(OR(NOT(ISNUMBER(M224)),O224=0),"",M224*('Conference pools'!$H$2/N224+'Conference pools'!$H$3*J224/O224))</x:f>
        <x:v>0</x:v>
      </x:c>
      <x:c r="Q224" t="n">
        <x:f>IF(COUNTIFS($E$2:$E$267,E224,$X$2:$X$267,"&lt;&gt;")&lt;&gt;COUNTIF($E$2:$E$267,E224),"",SUMIF($E$2:$E$267,E224,$X$2:$X$267))</x:f>
        <x:v>0</x:v>
      </x:c>
      <x:c r="R224" t="n">
        <x:f>COUNTIF($E$2:$E$267,E224)</x:f>
        <x:v>11</x:v>
      </x:c>
      <x:c r="S224" t="n">
        <x:f>SUMIF($E$2:$E$267,E224,$J$2:$J$267)</x:f>
        <x:v>401.8218000000001</x:v>
      </x:c>
      <x:c r="T224" t="n">
        <x:f>IF(OR(NOT(ISNUMBER(Q224)),S224=0),"",Q224*('Conference pools'!$H$2/R224+'Conference pools'!$H$3*J224/S224))</x:f>
        <x:v>0</x:v>
      </x:c>
      <x:c r="U224" t="n">
        <x:f>IF(OR(NOT(ISNUMBER(P224)),NOT(ISNUMBER(T224))),"",T224-P224)</x:f>
        <x:v>0</x:v>
      </x:c>
      <x:c r="V224" s="8" t="str">
        <x:f>IF(OR(NOT(ISNUMBER(U224)),P224=0),"",U224/P224)</x:f>
      </x:c>
      <x:c r="W224" t="str">
        <x:f>IF(OR(NOT(ISNUMBER(T224)),NOT(ISNUMBER(K224))),"",T224-K224)</x:f>
      </x:c>
      <x:c r="X224" t="n">
        <x:f>IF(NOT(ISNUMBER(M224)),"",M224/N224)</x:f>
        <x:v>0</x:v>
      </x:c>
    </x:row>
    <x:row r="225">
      <x:c r="A225" t="str">
        <x:v>BRYANT</x:v>
      </x:c>
      <x:c r="B225" t="str">
        <x:v>Bryant University</x:v>
      </x:c>
      <x:c r="C225" t="str">
        <x:v>FCS</x:v>
      </x:c>
      <x:c r="D225" t="str">
        <x:v>Coastal Athletic Association</x:v>
      </x:c>
      <x:c r="E225" t="str">
        <x:v>Development Northeast</x:v>
      </x:c>
      <x:c r="F225" t="n">
        <x:v>26</x:v>
      </x:c>
      <x:c r="G225" t="n">
        <x:v>0.2906</x:v>
      </x:c>
      <x:c r="H225" t="n">
        <x:v>0.4991</x:v>
      </x:c>
      <x:c r="I225" t="n">
        <x:v>33.3411</x:v>
      </x:c>
      <x:c r="J225" t="n">
        <x:f>IF(ISNUMBER(I225),MAX(1,I225),1)</x:f>
        <x:v>33.3411</x:v>
      </x:c>
      <x:c r="K225"/>
      <x:c r="L225" t="str">
        <x:v>NOT VERIFIED</x:v>
      </x:c>
      <x:c r="M225" t="n">
        <x:f>IF(COUNTIFS('Conference pools'!$A$2:$A$25,D225,'Conference pools'!$D$2:$D$25,"&gt;=0")=0,"",SUMIF('Conference pools'!$A$2:$A$25,D225,'Conference pools'!$D$2:$D$25))</x:f>
        <x:v>0</x:v>
      </x:c>
      <x:c r="N225" t="n">
        <x:f>COUNTIF($D$2:$D$267,D225)</x:f>
        <x:v>13</x:v>
      </x:c>
      <x:c r="O225" t="n">
        <x:f>SUMIF($D$2:$D$267,D225,$J$2:$J$267)</x:f>
        <x:v>512.5445000000001</x:v>
      </x:c>
      <x:c r="P225" t="n">
        <x:f>IF(OR(NOT(ISNUMBER(M225)),O225=0),"",M225*('Conference pools'!$H$2/N225+'Conference pools'!$H$3*J225/O225))</x:f>
        <x:v>0</x:v>
      </x:c>
      <x:c r="Q225" t="n">
        <x:f>IF(COUNTIFS($E$2:$E$267,E225,$X$2:$X$267,"&lt;&gt;")&lt;&gt;COUNTIF($E$2:$E$267,E225),"",SUMIF($E$2:$E$267,E225,$X$2:$X$267))</x:f>
        <x:v>0</x:v>
      </x:c>
      <x:c r="R225" t="n">
        <x:f>COUNTIF($E$2:$E$267,E225)</x:f>
        <x:v>11</x:v>
      </x:c>
      <x:c r="S225" t="n">
        <x:f>SUMIF($E$2:$E$267,E225,$J$2:$J$267)</x:f>
        <x:v>401.8218000000001</x:v>
      </x:c>
      <x:c r="T225" t="n">
        <x:f>IF(OR(NOT(ISNUMBER(Q225)),S225=0),"",Q225*('Conference pools'!$H$2/R225+'Conference pools'!$H$3*J225/S225))</x:f>
        <x:v>0</x:v>
      </x:c>
      <x:c r="U225" t="n">
        <x:f>IF(OR(NOT(ISNUMBER(P225)),NOT(ISNUMBER(T225))),"",T225-P225)</x:f>
        <x:v>0</x:v>
      </x:c>
      <x:c r="V225" s="8" t="str">
        <x:f>IF(OR(NOT(ISNUMBER(U225)),P225=0),"",U225/P225)</x:f>
      </x:c>
      <x:c r="W225" t="str">
        <x:f>IF(OR(NOT(ISNUMBER(T225)),NOT(ISNUMBER(K225))),"",T225-K225)</x:f>
      </x:c>
      <x:c r="X225" t="n">
        <x:f>IF(NOT(ISNUMBER(M225)),"",M225/N225)</x:f>
        <x:v>0</x:v>
      </x:c>
    </x:row>
    <x:row r="226">
      <x:c r="A226" t="str">
        <x:v>COLGATE</x:v>
      </x:c>
      <x:c r="B226" t="str">
        <x:v>Colgate University</x:v>
      </x:c>
      <x:c r="C226" t="str">
        <x:v>FCS</x:v>
      </x:c>
      <x:c r="D226" t="str">
        <x:v>Patriot League</x:v>
      </x:c>
      <x:c r="E226" t="str">
        <x:v>Development Northeast</x:v>
      </x:c>
      <x:c r="F226" t="n">
        <x:v>22</x:v>
      </x:c>
      <x:c r="G226" t="n">
        <x:v>0.3591</x:v>
      </x:c>
      <x:c r="H226" t="n">
        <x:v>0.4883</x:v>
      </x:c>
      <x:c r="I226" t="n">
        <x:v>35.9755</x:v>
      </x:c>
      <x:c r="J226" t="n">
        <x:f>IF(ISNUMBER(I226),MAX(1,I226),1)</x:f>
        <x:v>35.9755</x:v>
      </x:c>
      <x:c r="K226"/>
      <x:c r="L226" t="str">
        <x:v>NOT VERIFIED</x:v>
      </x:c>
      <x:c r="M226" t="n">
        <x:f>IF(COUNTIFS('Conference pools'!$A$2:$A$25,D226,'Conference pools'!$D$2:$D$25,"&gt;=0")=0,"",SUMIF('Conference pools'!$A$2:$A$25,D226,'Conference pools'!$D$2:$D$25))</x:f>
        <x:v>0</x:v>
      </x:c>
      <x:c r="N226" t="n">
        <x:f>COUNTIF($D$2:$D$267,D226)</x:f>
        <x:v>10</x:v>
      </x:c>
      <x:c r="O226" t="n">
        <x:f>SUMIF($D$2:$D$267,D226,$J$2:$J$267)</x:f>
        <x:v>431.0682</x:v>
      </x:c>
      <x:c r="P226" t="n">
        <x:f>IF(OR(NOT(ISNUMBER(M226)),O226=0),"",M226*('Conference pools'!$H$2/N226+'Conference pools'!$H$3*J226/O226))</x:f>
        <x:v>0</x:v>
      </x:c>
      <x:c r="Q226" t="n">
        <x:f>IF(COUNTIFS($E$2:$E$267,E226,$X$2:$X$267,"&lt;&gt;")&lt;&gt;COUNTIF($E$2:$E$267,E226),"",SUMIF($E$2:$E$267,E226,$X$2:$X$267))</x:f>
        <x:v>0</x:v>
      </x:c>
      <x:c r="R226" t="n">
        <x:f>COUNTIF($E$2:$E$267,E226)</x:f>
        <x:v>11</x:v>
      </x:c>
      <x:c r="S226" t="n">
        <x:f>SUMIF($E$2:$E$267,E226,$J$2:$J$267)</x:f>
        <x:v>401.8218000000001</x:v>
      </x:c>
      <x:c r="T226" t="n">
        <x:f>IF(OR(NOT(ISNUMBER(Q226)),S226=0),"",Q226*('Conference pools'!$H$2/R226+'Conference pools'!$H$3*J226/S226))</x:f>
        <x:v>0</x:v>
      </x:c>
      <x:c r="U226" t="n">
        <x:f>IF(OR(NOT(ISNUMBER(P226)),NOT(ISNUMBER(T226))),"",T226-P226)</x:f>
        <x:v>0</x:v>
      </x:c>
      <x:c r="V226" s="8" t="str">
        <x:f>IF(OR(NOT(ISNUMBER(U226)),P226=0),"",U226/P226)</x:f>
      </x:c>
      <x:c r="W226" t="str">
        <x:f>IF(OR(NOT(ISNUMBER(T226)),NOT(ISNUMBER(K226))),"",T226-K226)</x:f>
      </x:c>
      <x:c r="X226" t="n">
        <x:f>IF(NOT(ISNUMBER(M226)),"",M226/N226)</x:f>
        <x:v>0</x:v>
      </x:c>
    </x:row>
    <x:row r="227">
      <x:c r="A227" t="str">
        <x:v>FORDHAM</x:v>
      </x:c>
      <x:c r="B227" t="str">
        <x:v>Fordham University</x:v>
      </x:c>
      <x:c r="C227" t="str">
        <x:v>FCS</x:v>
      </x:c>
      <x:c r="D227" t="str">
        <x:v>Patriot League</x:v>
      </x:c>
      <x:c r="E227" t="str">
        <x:v>Development Northeast</x:v>
      </x:c>
      <x:c r="F227" t="n">
        <x:v>28</x:v>
      </x:c>
      <x:c r="G227" t="n">
        <x:v>0.2221</x:v>
      </x:c>
      <x:c r="H227" t="n">
        <x:v>0.5007</x:v>
      </x:c>
      <x:c r="I227" t="n">
        <x:v>32.2663</x:v>
      </x:c>
      <x:c r="J227" t="n">
        <x:f>IF(ISNUMBER(I227),MAX(1,I227),1)</x:f>
        <x:v>32.2663</x:v>
      </x:c>
      <x:c r="K227"/>
      <x:c r="L227" t="str">
        <x:v>NOT VERIFIED</x:v>
      </x:c>
      <x:c r="M227" t="n">
        <x:f>IF(COUNTIFS('Conference pools'!$A$2:$A$25,D227,'Conference pools'!$D$2:$D$25,"&gt;=0")=0,"",SUMIF('Conference pools'!$A$2:$A$25,D227,'Conference pools'!$D$2:$D$25))</x:f>
        <x:v>0</x:v>
      </x:c>
      <x:c r="N227" t="n">
        <x:f>COUNTIF($D$2:$D$267,D227)</x:f>
        <x:v>10</x:v>
      </x:c>
      <x:c r="O227" t="n">
        <x:f>SUMIF($D$2:$D$267,D227,$J$2:$J$267)</x:f>
        <x:v>431.0682</x:v>
      </x:c>
      <x:c r="P227" t="n">
        <x:f>IF(OR(NOT(ISNUMBER(M227)),O227=0),"",M227*('Conference pools'!$H$2/N227+'Conference pools'!$H$3*J227/O227))</x:f>
        <x:v>0</x:v>
      </x:c>
      <x:c r="Q227" t="n">
        <x:f>IF(COUNTIFS($E$2:$E$267,E227,$X$2:$X$267,"&lt;&gt;")&lt;&gt;COUNTIF($E$2:$E$267,E227),"",SUMIF($E$2:$E$267,E227,$X$2:$X$267))</x:f>
        <x:v>0</x:v>
      </x:c>
      <x:c r="R227" t="n">
        <x:f>COUNTIF($E$2:$E$267,E227)</x:f>
        <x:v>11</x:v>
      </x:c>
      <x:c r="S227" t="n">
        <x:f>SUMIF($E$2:$E$267,E227,$J$2:$J$267)</x:f>
        <x:v>401.8218000000001</x:v>
      </x:c>
      <x:c r="T227" t="n">
        <x:f>IF(OR(NOT(ISNUMBER(Q227)),S227=0),"",Q227*('Conference pools'!$H$2/R227+'Conference pools'!$H$3*J227/S227))</x:f>
        <x:v>0</x:v>
      </x:c>
      <x:c r="U227" t="n">
        <x:f>IF(OR(NOT(ISNUMBER(P227)),NOT(ISNUMBER(T227))),"",T227-P227)</x:f>
        <x:v>0</x:v>
      </x:c>
      <x:c r="V227" s="8" t="str">
        <x:f>IF(OR(NOT(ISNUMBER(U227)),P227=0),"",U227/P227)</x:f>
      </x:c>
      <x:c r="W227" t="str">
        <x:f>IF(OR(NOT(ISNUMBER(T227)),NOT(ISNUMBER(K227))),"",T227-K227)</x:f>
      </x:c>
      <x:c r="X227" t="n">
        <x:f>IF(NOT(ISNUMBER(M227)),"",M227/N227)</x:f>
        <x:v>0</x:v>
      </x:c>
    </x:row>
    <x:row r="228">
      <x:c r="A228" t="str">
        <x:v>MAINE</x:v>
      </x:c>
      <x:c r="B228" t="str">
        <x:v>University of Maine</x:v>
      </x:c>
      <x:c r="C228" t="str">
        <x:v>FCS</x:v>
      </x:c>
      <x:c r="D228" t="str">
        <x:v>Coastal Athletic Association</x:v>
      </x:c>
      <x:c r="E228" t="str">
        <x:v>Development Northeast</x:v>
      </x:c>
      <x:c r="F228" t="n">
        <x:v>19</x:v>
      </x:c>
      <x:c r="G228" t="n">
        <x:v>0.3953</x:v>
      </x:c>
      <x:c r="H228" t="n">
        <x:v>0.4806</x:v>
      </x:c>
      <x:c r="I228" t="n">
        <x:v>37.6296</x:v>
      </x:c>
      <x:c r="J228" t="n">
        <x:f>IF(ISNUMBER(I228),MAX(1,I228),1)</x:f>
        <x:v>37.6296</x:v>
      </x:c>
      <x:c r="K228"/>
      <x:c r="L228" t="str">
        <x:v>NOT VERIFIED</x:v>
      </x:c>
      <x:c r="M228" t="n">
        <x:f>IF(COUNTIFS('Conference pools'!$A$2:$A$25,D228,'Conference pools'!$D$2:$D$25,"&gt;=0")=0,"",SUMIF('Conference pools'!$A$2:$A$25,D228,'Conference pools'!$D$2:$D$25))</x:f>
        <x:v>0</x:v>
      </x:c>
      <x:c r="N228" t="n">
        <x:f>COUNTIF($D$2:$D$267,D228)</x:f>
        <x:v>13</x:v>
      </x:c>
      <x:c r="O228" t="n">
        <x:f>SUMIF($D$2:$D$267,D228,$J$2:$J$267)</x:f>
        <x:v>512.5445000000001</x:v>
      </x:c>
      <x:c r="P228" t="n">
        <x:f>IF(OR(NOT(ISNUMBER(M228)),O228=0),"",M228*('Conference pools'!$H$2/N228+'Conference pools'!$H$3*J228/O228))</x:f>
        <x:v>0</x:v>
      </x:c>
      <x:c r="Q228" t="n">
        <x:f>IF(COUNTIFS($E$2:$E$267,E228,$X$2:$X$267,"&lt;&gt;")&lt;&gt;COUNTIF($E$2:$E$267,E228),"",SUMIF($E$2:$E$267,E228,$X$2:$X$267))</x:f>
        <x:v>0</x:v>
      </x:c>
      <x:c r="R228" t="n">
        <x:f>COUNTIF($E$2:$E$267,E228)</x:f>
        <x:v>11</x:v>
      </x:c>
      <x:c r="S228" t="n">
        <x:f>SUMIF($E$2:$E$267,E228,$J$2:$J$267)</x:f>
        <x:v>401.8218000000001</x:v>
      </x:c>
      <x:c r="T228" t="n">
        <x:f>IF(OR(NOT(ISNUMBER(Q228)),S228=0),"",Q228*('Conference pools'!$H$2/R228+'Conference pools'!$H$3*J228/S228))</x:f>
        <x:v>0</x:v>
      </x:c>
      <x:c r="U228" t="n">
        <x:f>IF(OR(NOT(ISNUMBER(P228)),NOT(ISNUMBER(T228))),"",T228-P228)</x:f>
        <x:v>0</x:v>
      </x:c>
      <x:c r="V228" s="8" t="str">
        <x:f>IF(OR(NOT(ISNUMBER(U228)),P228=0),"",U228/P228)</x:f>
      </x:c>
      <x:c r="W228" t="str">
        <x:f>IF(OR(NOT(ISNUMBER(T228)),NOT(ISNUMBER(K228))),"",T228-K228)</x:f>
      </x:c>
      <x:c r="X228" t="n">
        <x:f>IF(NOT(ISNUMBER(M228)),"",M228/N228)</x:f>
        <x:v>0</x:v>
      </x:c>
    </x:row>
    <x:row r="229">
      <x:c r="A229" t="str">
        <x:v>SACRED_HEART</x:v>
      </x:c>
      <x:c r="B229" t="str">
        <x:v>Sacred Heart University</x:v>
      </x:c>
      <x:c r="C229" t="str">
        <x:v>FCS</x:v>
      </x:c>
      <x:c r="D229" t="str">
        <x:v>Coastal Athletic Association</x:v>
      </x:c>
      <x:c r="E229" t="str">
        <x:v>Development Northeast</x:v>
      </x:c>
      <x:c r="F229" t="n">
        <x:v>18</x:v>
      </x:c>
      <x:c r="G229" t="n">
        <x:v>0.4778</x:v>
      </x:c>
      <x:c r="H229" t="n">
        <x:v>0.4707</x:v>
      </x:c>
      <x:c r="I229" t="n">
        <x:v>38.5252</x:v>
      </x:c>
      <x:c r="J229" t="n">
        <x:f>IF(ISNUMBER(I229),MAX(1,I229),1)</x:f>
        <x:v>38.5252</x:v>
      </x:c>
      <x:c r="K229"/>
      <x:c r="L229" t="str">
        <x:v>NOT VERIFIED</x:v>
      </x:c>
      <x:c r="M229" t="n">
        <x:f>IF(COUNTIFS('Conference pools'!$A$2:$A$25,D229,'Conference pools'!$D$2:$D$25,"&gt;=0")=0,"",SUMIF('Conference pools'!$A$2:$A$25,D229,'Conference pools'!$D$2:$D$25))</x:f>
        <x:v>0</x:v>
      </x:c>
      <x:c r="N229" t="n">
        <x:f>COUNTIF($D$2:$D$267,D229)</x:f>
        <x:v>13</x:v>
      </x:c>
      <x:c r="O229" t="n">
        <x:f>SUMIF($D$2:$D$267,D229,$J$2:$J$267)</x:f>
        <x:v>512.5445000000001</x:v>
      </x:c>
      <x:c r="P229" t="n">
        <x:f>IF(OR(NOT(ISNUMBER(M229)),O229=0),"",M229*('Conference pools'!$H$2/N229+'Conference pools'!$H$3*J229/O229))</x:f>
        <x:v>0</x:v>
      </x:c>
      <x:c r="Q229" t="n">
        <x:f>IF(COUNTIFS($E$2:$E$267,E229,$X$2:$X$267,"&lt;&gt;")&lt;&gt;COUNTIF($E$2:$E$267,E229),"",SUMIF($E$2:$E$267,E229,$X$2:$X$267))</x:f>
        <x:v>0</x:v>
      </x:c>
      <x:c r="R229" t="n">
        <x:f>COUNTIF($E$2:$E$267,E229)</x:f>
        <x:v>11</x:v>
      </x:c>
      <x:c r="S229" t="n">
        <x:f>SUMIF($E$2:$E$267,E229,$J$2:$J$267)</x:f>
        <x:v>401.8218000000001</x:v>
      </x:c>
      <x:c r="T229" t="n">
        <x:f>IF(OR(NOT(ISNUMBER(Q229)),S229=0),"",Q229*('Conference pools'!$H$2/R229+'Conference pools'!$H$3*J229/S229))</x:f>
        <x:v>0</x:v>
      </x:c>
      <x:c r="U229" t="n">
        <x:f>IF(OR(NOT(ISNUMBER(P229)),NOT(ISNUMBER(T229))),"",T229-P229)</x:f>
        <x:v>0</x:v>
      </x:c>
      <x:c r="V229" s="8" t="str">
        <x:f>IF(OR(NOT(ISNUMBER(U229)),P229=0),"",U229/P229)</x:f>
      </x:c>
      <x:c r="W229" t="str">
        <x:f>IF(OR(NOT(ISNUMBER(T229)),NOT(ISNUMBER(K229))),"",T229-K229)</x:f>
      </x:c>
      <x:c r="X229" t="n">
        <x:f>IF(NOT(ISNUMBER(M229)),"",M229/N229)</x:f>
        <x:v>0</x:v>
      </x:c>
    </x:row>
    <x:row r="230">
      <x:c r="A230" t="str">
        <x:v>LIU</x:v>
      </x:c>
      <x:c r="B230" t="str">
        <x:v>Long Island University</x:v>
      </x:c>
      <x:c r="C230" t="str">
        <x:v>FCS</x:v>
      </x:c>
      <x:c r="D230" t="str">
        <x:v>Northeast Conference</x:v>
      </x:c>
      <x:c r="E230" t="str">
        <x:v>Development Northeast</x:v>
      </x:c>
      <x:c r="F230" t="n">
        <x:v>23</x:v>
      </x:c>
      <x:c r="G230" t="n">
        <x:v>0.409</x:v>
      </x:c>
      <x:c r="H230" t="n">
        <x:v>0.4614</x:v>
      </x:c>
      <x:c r="I230" t="n">
        <x:v>35.6408</x:v>
      </x:c>
      <x:c r="J230" t="n">
        <x:f>IF(ISNUMBER(I230),MAX(1,I230),1)</x:f>
        <x:v>35.6408</x:v>
      </x:c>
      <x:c r="K230"/>
      <x:c r="L230" t="str">
        <x:v>NOT VERIFIED</x:v>
      </x:c>
      <x:c r="M230" t="n">
        <x:f>IF(COUNTIFS('Conference pools'!$A$2:$A$25,D230,'Conference pools'!$D$2:$D$25,"&gt;=0")=0,"",SUMIF('Conference pools'!$A$2:$A$25,D230,'Conference pools'!$D$2:$D$25))</x:f>
        <x:v>0</x:v>
      </x:c>
      <x:c r="N230" t="n">
        <x:f>COUNTIF($D$2:$D$267,D230)</x:f>
        <x:v>8</x:v>
      </x:c>
      <x:c r="O230" t="n">
        <x:f>SUMIF($D$2:$D$267,D230,$J$2:$J$267)</x:f>
        <x:v>291.4439</x:v>
      </x:c>
      <x:c r="P230" t="n">
        <x:f>IF(OR(NOT(ISNUMBER(M230)),O230=0),"",M230*('Conference pools'!$H$2/N230+'Conference pools'!$H$3*J230/O230))</x:f>
        <x:v>0</x:v>
      </x:c>
      <x:c r="Q230" t="n">
        <x:f>IF(COUNTIFS($E$2:$E$267,E230,$X$2:$X$267,"&lt;&gt;")&lt;&gt;COUNTIF($E$2:$E$267,E230),"",SUMIF($E$2:$E$267,E230,$X$2:$X$267))</x:f>
        <x:v>0</x:v>
      </x:c>
      <x:c r="R230" t="n">
        <x:f>COUNTIF($E$2:$E$267,E230)</x:f>
        <x:v>11</x:v>
      </x:c>
      <x:c r="S230" t="n">
        <x:f>SUMIF($E$2:$E$267,E230,$J$2:$J$267)</x:f>
        <x:v>401.8218000000001</x:v>
      </x:c>
      <x:c r="T230" t="n">
        <x:f>IF(OR(NOT(ISNUMBER(Q230)),S230=0),"",Q230*('Conference pools'!$H$2/R230+'Conference pools'!$H$3*J230/S230))</x:f>
        <x:v>0</x:v>
      </x:c>
      <x:c r="U230" t="n">
        <x:f>IF(OR(NOT(ISNUMBER(P230)),NOT(ISNUMBER(T230))),"",T230-P230)</x:f>
        <x:v>0</x:v>
      </x:c>
      <x:c r="V230" s="8" t="str">
        <x:f>IF(OR(NOT(ISNUMBER(U230)),P230=0),"",U230/P230)</x:f>
      </x:c>
      <x:c r="W230" t="str">
        <x:f>IF(OR(NOT(ISNUMBER(T230)),NOT(ISNUMBER(K230))),"",T230-K230)</x:f>
      </x:c>
      <x:c r="X230" t="n">
        <x:f>IF(NOT(ISNUMBER(M230)),"",M230/N230)</x:f>
        <x:v>0</x:v>
      </x:c>
    </x:row>
    <x:row r="231">
      <x:c r="A231" t="str">
        <x:v>NEW_HAVEN</x:v>
      </x:c>
      <x:c r="B231" t="str">
        <x:v>University of New Haven</x:v>
      </x:c>
      <x:c r="C231" t="str">
        <x:v>FCS</x:v>
      </x:c>
      <x:c r="D231" t="str">
        <x:v>Northeast Conference</x:v>
      </x:c>
      <x:c r="E231" t="str">
        <x:v>Development Northeast</x:v>
      </x:c>
      <x:c r="F231" t="n">
        <x:v>14</x:v>
      </x:c>
      <x:c r="G231"/>
      <x:c r="H231"/>
      <x:c r="I231" t="n">
        <x:v>41.939</x:v>
      </x:c>
      <x:c r="J231" t="n">
        <x:f>IF(ISNUMBER(I231),MAX(1,I231),1)</x:f>
        <x:v>41.939</x:v>
      </x:c>
      <x:c r="K231"/>
      <x:c r="L231" t="str">
        <x:v>NOT VERIFIED</x:v>
      </x:c>
      <x:c r="M231" t="n">
        <x:f>IF(COUNTIFS('Conference pools'!$A$2:$A$25,D231,'Conference pools'!$D$2:$D$25,"&gt;=0")=0,"",SUMIF('Conference pools'!$A$2:$A$25,D231,'Conference pools'!$D$2:$D$25))</x:f>
        <x:v>0</x:v>
      </x:c>
      <x:c r="N231" t="n">
        <x:f>COUNTIF($D$2:$D$267,D231)</x:f>
        <x:v>8</x:v>
      </x:c>
      <x:c r="O231" t="n">
        <x:f>SUMIF($D$2:$D$267,D231,$J$2:$J$267)</x:f>
        <x:v>291.4439</x:v>
      </x:c>
      <x:c r="P231" t="n">
        <x:f>IF(OR(NOT(ISNUMBER(M231)),O231=0),"",M231*('Conference pools'!$H$2/N231+'Conference pools'!$H$3*J231/O231))</x:f>
        <x:v>0</x:v>
      </x:c>
      <x:c r="Q231" t="n">
        <x:f>IF(COUNTIFS($E$2:$E$267,E231,$X$2:$X$267,"&lt;&gt;")&lt;&gt;COUNTIF($E$2:$E$267,E231),"",SUMIF($E$2:$E$267,E231,$X$2:$X$267))</x:f>
        <x:v>0</x:v>
      </x:c>
      <x:c r="R231" t="n">
        <x:f>COUNTIF($E$2:$E$267,E231)</x:f>
        <x:v>11</x:v>
      </x:c>
      <x:c r="S231" t="n">
        <x:f>SUMIF($E$2:$E$267,E231,$J$2:$J$267)</x:f>
        <x:v>401.8218000000001</x:v>
      </x:c>
      <x:c r="T231" t="n">
        <x:f>IF(OR(NOT(ISNUMBER(Q231)),S231=0),"",Q231*('Conference pools'!$H$2/R231+'Conference pools'!$H$3*J231/S231))</x:f>
        <x:v>0</x:v>
      </x:c>
      <x:c r="U231" t="n">
        <x:f>IF(OR(NOT(ISNUMBER(P231)),NOT(ISNUMBER(T231))),"",T231-P231)</x:f>
        <x:v>0</x:v>
      </x:c>
      <x:c r="V231" s="8" t="str">
        <x:f>IF(OR(NOT(ISNUMBER(U231)),P231=0),"",U231/P231)</x:f>
      </x:c>
      <x:c r="W231" t="str">
        <x:f>IF(OR(NOT(ISNUMBER(T231)),NOT(ISNUMBER(K231))),"",T231-K231)</x:f>
      </x:c>
      <x:c r="X231" t="n">
        <x:f>IF(NOT(ISNUMBER(M231)),"",M231/N231)</x:f>
        <x:v>0</x:v>
      </x:c>
    </x:row>
    <x:row r="232">
      <x:c r="A232" t="str">
        <x:v>STONY_BROOK</x:v>
      </x:c>
      <x:c r="B232" t="str">
        <x:v>Stony Brook University</x:v>
      </x:c>
      <x:c r="C232" t="str">
        <x:v>FCS</x:v>
      </x:c>
      <x:c r="D232" t="str">
        <x:v>Coastal Athletic Association</x:v>
      </x:c>
      <x:c r="E232" t="str">
        <x:v>Development Northeast</x:v>
      </x:c>
      <x:c r="F232" t="n">
        <x:v>18</x:v>
      </x:c>
      <x:c r="G232" t="n">
        <x:v>0.45</x:v>
      </x:c>
      <x:c r="H232" t="n">
        <x:v>0.4733</x:v>
      </x:c>
      <x:c r="I232" t="n">
        <x:v>39.0305</x:v>
      </x:c>
      <x:c r="J232" t="n">
        <x:f>IF(ISNUMBER(I232),MAX(1,I232),1)</x:f>
        <x:v>39.0305</x:v>
      </x:c>
      <x:c r="K232"/>
      <x:c r="L232" t="str">
        <x:v>NOT VERIFIED</x:v>
      </x:c>
      <x:c r="M232" t="n">
        <x:f>IF(COUNTIFS('Conference pools'!$A$2:$A$25,D232,'Conference pools'!$D$2:$D$25,"&gt;=0")=0,"",SUMIF('Conference pools'!$A$2:$A$25,D232,'Conference pools'!$D$2:$D$25))</x:f>
        <x:v>0</x:v>
      </x:c>
      <x:c r="N232" t="n">
        <x:f>COUNTIF($D$2:$D$267,D232)</x:f>
        <x:v>13</x:v>
      </x:c>
      <x:c r="O232" t="n">
        <x:f>SUMIF($D$2:$D$267,D232,$J$2:$J$267)</x:f>
        <x:v>512.5445000000001</x:v>
      </x:c>
      <x:c r="P232" t="n">
        <x:f>IF(OR(NOT(ISNUMBER(M232)),O232=0),"",M232*('Conference pools'!$H$2/N232+'Conference pools'!$H$3*J232/O232))</x:f>
        <x:v>0</x:v>
      </x:c>
      <x:c r="Q232" t="n">
        <x:f>IF(COUNTIFS($E$2:$E$267,E232,$X$2:$X$267,"&lt;&gt;")&lt;&gt;COUNTIF($E$2:$E$267,E232),"",SUMIF($E$2:$E$267,E232,$X$2:$X$267))</x:f>
        <x:v>0</x:v>
      </x:c>
      <x:c r="R232" t="n">
        <x:f>COUNTIF($E$2:$E$267,E232)</x:f>
        <x:v>11</x:v>
      </x:c>
      <x:c r="S232" t="n">
        <x:f>SUMIF($E$2:$E$267,E232,$J$2:$J$267)</x:f>
        <x:v>401.8218000000001</x:v>
      </x:c>
      <x:c r="T232" t="n">
        <x:f>IF(OR(NOT(ISNUMBER(Q232)),S232=0),"",Q232*('Conference pools'!$H$2/R232+'Conference pools'!$H$3*J232/S232))</x:f>
        <x:v>0</x:v>
      </x:c>
      <x:c r="U232" t="n">
        <x:f>IF(OR(NOT(ISNUMBER(P232)),NOT(ISNUMBER(T232))),"",T232-P232)</x:f>
        <x:v>0</x:v>
      </x:c>
      <x:c r="V232" s="8" t="str">
        <x:f>IF(OR(NOT(ISNUMBER(U232)),P232=0),"",U232/P232)</x:f>
      </x:c>
      <x:c r="W232" t="str">
        <x:f>IF(OR(NOT(ISNUMBER(T232)),NOT(ISNUMBER(K232))),"",T232-K232)</x:f>
      </x:c>
      <x:c r="X232" t="n">
        <x:f>IF(NOT(ISNUMBER(M232)),"",M232/N232)</x:f>
        <x:v>0</x:v>
      </x:c>
    </x:row>
    <x:row r="233">
      <x:c r="A233" t="str">
        <x:v>SAN_DIEGO</x:v>
      </x:c>
      <x:c r="B233" t="str">
        <x:v>University of San Diego</x:v>
      </x:c>
      <x:c r="C233" t="str">
        <x:v>FCS</x:v>
      </x:c>
      <x:c r="D233" t="str">
        <x:v>Pioneer Football League</x:v>
      </x:c>
      <x:c r="E233" t="str">
        <x:v>Development Pacific</x:v>
      </x:c>
      <x:c r="F233" t="n">
        <x:v>9</x:v>
      </x:c>
      <x:c r="G233" t="n">
        <x:v>0.6129</x:v>
      </x:c>
      <x:c r="H233" t="n">
        <x:v>0.4515</x:v>
      </x:c>
      <x:c r="I233" t="n">
        <x:v>46.5972</x:v>
      </x:c>
      <x:c r="J233" t="n">
        <x:f>IF(ISNUMBER(I233),MAX(1,I233),1)</x:f>
        <x:v>46.5972</x:v>
      </x:c>
      <x:c r="K233"/>
      <x:c r="L233" t="str">
        <x:v>NOT VERIFIED</x:v>
      </x:c>
      <x:c r="M233" t="n">
        <x:f>IF(COUNTIFS('Conference pools'!$A$2:$A$25,D233,'Conference pools'!$D$2:$D$25,"&gt;=0")=0,"",SUMIF('Conference pools'!$A$2:$A$25,D233,'Conference pools'!$D$2:$D$25))</x:f>
        <x:v>0</x:v>
      </x:c>
      <x:c r="N233" t="n">
        <x:f>COUNTIF($D$2:$D$267,D233)</x:f>
        <x:v>11</x:v>
      </x:c>
      <x:c r="O233" t="n">
        <x:f>SUMIF($D$2:$D$267,D233,$J$2:$J$267)</x:f>
        <x:v>418.72029999999995</x:v>
      </x:c>
      <x:c r="P233" t="n">
        <x:f>IF(OR(NOT(ISNUMBER(M233)),O233=0),"",M233*('Conference pools'!$H$2/N233+'Conference pools'!$H$3*J233/O233))</x:f>
        <x:v>0</x:v>
      </x:c>
      <x:c r="Q233" t="n">
        <x:f>IF(COUNTIFS($E$2:$E$267,E233,$X$2:$X$267,"&lt;&gt;")&lt;&gt;COUNTIF($E$2:$E$267,E233),"",SUMIF($E$2:$E$267,E233,$X$2:$X$267))</x:f>
        <x:v>0</x:v>
      </x:c>
      <x:c r="R233" t="n">
        <x:f>COUNTIF($E$2:$E$267,E233)</x:f>
        <x:v>12</x:v>
      </x:c>
      <x:c r="S233" t="n">
        <x:f>SUMIF($E$2:$E$267,E233,$J$2:$J$267)</x:f>
        <x:v>439.37210000000005</x:v>
      </x:c>
      <x:c r="T233" t="n">
        <x:f>IF(OR(NOT(ISNUMBER(Q233)),S233=0),"",Q233*('Conference pools'!$H$2/R233+'Conference pools'!$H$3*J233/S233))</x:f>
        <x:v>0</x:v>
      </x:c>
      <x:c r="U233" t="n">
        <x:f>IF(OR(NOT(ISNUMBER(P233)),NOT(ISNUMBER(T233))),"",T233-P233)</x:f>
        <x:v>0</x:v>
      </x:c>
      <x:c r="V233" s="8" t="str">
        <x:f>IF(OR(NOT(ISNUMBER(U233)),P233=0),"",U233/P233)</x:f>
      </x:c>
      <x:c r="W233" t="str">
        <x:f>IF(OR(NOT(ISNUMBER(T233)),NOT(ISNUMBER(K233))),"",T233-K233)</x:f>
      </x:c>
      <x:c r="X233" t="n">
        <x:f>IF(NOT(ISNUMBER(M233)),"",M233/N233)</x:f>
        <x:v>0</x:v>
      </x:c>
    </x:row>
    <x:row r="234">
      <x:c r="A234" t="str">
        <x:v>IDAHO_STATE</x:v>
      </x:c>
      <x:c r="B234" t="str">
        <x:v>Idaho State University</x:v>
      </x:c>
      <x:c r="C234" t="str">
        <x:v>FCS</x:v>
      </x:c>
      <x:c r="D234" t="str">
        <x:v>Big Sky Conference</x:v>
      </x:c>
      <x:c r="E234" t="str">
        <x:v>Development Pacific</x:v>
      </x:c>
      <x:c r="F234" t="n">
        <x:v>20</x:v>
      </x:c>
      <x:c r="G234" t="n">
        <x:v>0.4168</x:v>
      </x:c>
      <x:c r="H234" t="n">
        <x:v>0.5208</x:v>
      </x:c>
      <x:c r="I234" t="n">
        <x:v>37.3023</x:v>
      </x:c>
      <x:c r="J234" t="n">
        <x:f>IF(ISNUMBER(I234),MAX(1,I234),1)</x:f>
        <x:v>37.3023</x:v>
      </x:c>
      <x:c r="K234"/>
      <x:c r="L234" t="str">
        <x:v>NOT VERIFIED</x:v>
      </x:c>
      <x:c r="M234" t="n">
        <x:f>IF(COUNTIFS('Conference pools'!$A$2:$A$25,D234,'Conference pools'!$D$2:$D$25,"&gt;=0")=0,"",SUMIF('Conference pools'!$A$2:$A$25,D234,'Conference pools'!$D$2:$D$25))</x:f>
        <x:v>0</x:v>
      </x:c>
      <x:c r="N234" t="n">
        <x:f>COUNTIF($D$2:$D$267,D234)</x:f>
        <x:v>13</x:v>
      </x:c>
      <x:c r="O234" t="n">
        <x:f>SUMIF($D$2:$D$267,D234,$J$2:$J$267)</x:f>
        <x:v>550.8658999999999</x:v>
      </x:c>
      <x:c r="P234" t="n">
        <x:f>IF(OR(NOT(ISNUMBER(M234)),O234=0),"",M234*('Conference pools'!$H$2/N234+'Conference pools'!$H$3*J234/O234))</x:f>
        <x:v>0</x:v>
      </x:c>
      <x:c r="Q234" t="n">
        <x:f>IF(COUNTIFS($E$2:$E$267,E234,$X$2:$X$267,"&lt;&gt;")&lt;&gt;COUNTIF($E$2:$E$267,E234),"",SUMIF($E$2:$E$267,E234,$X$2:$X$267))</x:f>
        <x:v>0</x:v>
      </x:c>
      <x:c r="R234" t="n">
        <x:f>COUNTIF($E$2:$E$267,E234)</x:f>
        <x:v>12</x:v>
      </x:c>
      <x:c r="S234" t="n">
        <x:f>SUMIF($E$2:$E$267,E234,$J$2:$J$267)</x:f>
        <x:v>439.37210000000005</x:v>
      </x:c>
      <x:c r="T234" t="n">
        <x:f>IF(OR(NOT(ISNUMBER(Q234)),S234=0),"",Q234*('Conference pools'!$H$2/R234+'Conference pools'!$H$3*J234/S234))</x:f>
        <x:v>0</x:v>
      </x:c>
      <x:c r="U234" t="n">
        <x:f>IF(OR(NOT(ISNUMBER(P234)),NOT(ISNUMBER(T234))),"",T234-P234)</x:f>
        <x:v>0</x:v>
      </x:c>
      <x:c r="V234" s="8" t="str">
        <x:f>IF(OR(NOT(ISNUMBER(U234)),P234=0),"",U234/P234)</x:f>
      </x:c>
      <x:c r="W234" t="str">
        <x:f>IF(OR(NOT(ISNUMBER(T234)),NOT(ISNUMBER(K234))),"",T234-K234)</x:f>
      </x:c>
      <x:c r="X234" t="n">
        <x:f>IF(NOT(ISNUMBER(M234)),"",M234/N234)</x:f>
        <x:v>0</x:v>
      </x:c>
    </x:row>
    <x:row r="235">
      <x:c r="A235" t="str">
        <x:v>EASTERN_WASHINGTON</x:v>
      </x:c>
      <x:c r="B235" t="str">
        <x:v>Eastern Washington University</x:v>
      </x:c>
      <x:c r="C235" t="str">
        <x:v>FCS</x:v>
      </x:c>
      <x:c r="D235" t="str">
        <x:v>Big Sky Conference</x:v>
      </x:c>
      <x:c r="E235" t="str">
        <x:v>Development Pacific</x:v>
      </x:c>
      <x:c r="F235" t="n">
        <x:v>15</x:v>
      </x:c>
      <x:c r="G235" t="n">
        <x:v>0.3748</x:v>
      </x:c>
      <x:c r="H235" t="n">
        <x:v>0.4974</x:v>
      </x:c>
      <x:c r="I235" t="n">
        <x:v>40.6062</x:v>
      </x:c>
      <x:c r="J235" t="n">
        <x:f>IF(ISNUMBER(I235),MAX(1,I235),1)</x:f>
        <x:v>40.6062</x:v>
      </x:c>
      <x:c r="K235"/>
      <x:c r="L235" t="str">
        <x:v>NOT VERIFIED</x:v>
      </x:c>
      <x:c r="M235" t="n">
        <x:f>IF(COUNTIFS('Conference pools'!$A$2:$A$25,D235,'Conference pools'!$D$2:$D$25,"&gt;=0")=0,"",SUMIF('Conference pools'!$A$2:$A$25,D235,'Conference pools'!$D$2:$D$25))</x:f>
        <x:v>0</x:v>
      </x:c>
      <x:c r="N235" t="n">
        <x:f>COUNTIF($D$2:$D$267,D235)</x:f>
        <x:v>13</x:v>
      </x:c>
      <x:c r="O235" t="n">
        <x:f>SUMIF($D$2:$D$267,D235,$J$2:$J$267)</x:f>
        <x:v>550.8658999999999</x:v>
      </x:c>
      <x:c r="P235" t="n">
        <x:f>IF(OR(NOT(ISNUMBER(M235)),O235=0),"",M235*('Conference pools'!$H$2/N235+'Conference pools'!$H$3*J235/O235))</x:f>
        <x:v>0</x:v>
      </x:c>
      <x:c r="Q235" t="n">
        <x:f>IF(COUNTIFS($E$2:$E$267,E235,$X$2:$X$267,"&lt;&gt;")&lt;&gt;COUNTIF($E$2:$E$267,E235),"",SUMIF($E$2:$E$267,E235,$X$2:$X$267))</x:f>
        <x:v>0</x:v>
      </x:c>
      <x:c r="R235" t="n">
        <x:f>COUNTIF($E$2:$E$267,E235)</x:f>
        <x:v>12</x:v>
      </x:c>
      <x:c r="S235" t="n">
        <x:f>SUMIF($E$2:$E$267,E235,$J$2:$J$267)</x:f>
        <x:v>439.37210000000005</x:v>
      </x:c>
      <x:c r="T235" t="n">
        <x:f>IF(OR(NOT(ISNUMBER(Q235)),S235=0),"",Q235*('Conference pools'!$H$2/R235+'Conference pools'!$H$3*J235/S235))</x:f>
        <x:v>0</x:v>
      </x:c>
      <x:c r="U235" t="n">
        <x:f>IF(OR(NOT(ISNUMBER(P235)),NOT(ISNUMBER(T235))),"",T235-P235)</x:f>
        <x:v>0</x:v>
      </x:c>
      <x:c r="V235" s="8" t="str">
        <x:f>IF(OR(NOT(ISNUMBER(U235)),P235=0),"",U235/P235)</x:f>
      </x:c>
      <x:c r="W235" t="str">
        <x:f>IF(OR(NOT(ISNUMBER(T235)),NOT(ISNUMBER(K235))),"",T235-K235)</x:f>
      </x:c>
      <x:c r="X235" t="n">
        <x:f>IF(NOT(ISNUMBER(M235)),"",M235/N235)</x:f>
        <x:v>0</x:v>
      </x:c>
    </x:row>
    <x:row r="236">
      <x:c r="A236" t="str">
        <x:v>STEPHEN_F_AUSTIN</x:v>
      </x:c>
      <x:c r="B236" t="str">
        <x:v>Stephen F. Austin State University</x:v>
      </x:c>
      <x:c r="C236" t="str">
        <x:v>FCS</x:v>
      </x:c>
      <x:c r="D236" t="str">
        <x:v>Southland Conference</x:v>
      </x:c>
      <x:c r="E236" t="str">
        <x:v>Development Pacific</x:v>
      </x:c>
      <x:c r="F236" t="n">
        <x:v>8</x:v>
      </x:c>
      <x:c r="G236" t="n">
        <x:v>0.6053</x:v>
      </x:c>
      <x:c r="H236" t="n">
        <x:v>0.4648</x:v>
      </x:c>
      <x:c r="I236" t="n">
        <x:v>47.6378</x:v>
      </x:c>
      <x:c r="J236" t="n">
        <x:f>IF(ISNUMBER(I236),MAX(1,I236),1)</x:f>
        <x:v>47.6378</x:v>
      </x:c>
      <x:c r="K236"/>
      <x:c r="L236" t="str">
        <x:v>NOT VERIFIED</x:v>
      </x:c>
      <x:c r="M236" t="n">
        <x:f>IF(COUNTIFS('Conference pools'!$A$2:$A$25,D236,'Conference pools'!$D$2:$D$25,"&gt;=0")=0,"",SUMIF('Conference pools'!$A$2:$A$25,D236,'Conference pools'!$D$2:$D$25))</x:f>
        <x:v>0</x:v>
      </x:c>
      <x:c r="N236" t="n">
        <x:f>COUNTIF($D$2:$D$267,D236)</x:f>
        <x:v>10</x:v>
      </x:c>
      <x:c r="O236" t="n">
        <x:f>SUMIF($D$2:$D$267,D236,$J$2:$J$267)</x:f>
        <x:v>391.2068</x:v>
      </x:c>
      <x:c r="P236" t="n">
        <x:f>IF(OR(NOT(ISNUMBER(M236)),O236=0),"",M236*('Conference pools'!$H$2/N236+'Conference pools'!$H$3*J236/O236))</x:f>
        <x:v>0</x:v>
      </x:c>
      <x:c r="Q236" t="n">
        <x:f>IF(COUNTIFS($E$2:$E$267,E236,$X$2:$X$267,"&lt;&gt;")&lt;&gt;COUNTIF($E$2:$E$267,E236),"",SUMIF($E$2:$E$267,E236,$X$2:$X$267))</x:f>
        <x:v>0</x:v>
      </x:c>
      <x:c r="R236" t="n">
        <x:f>COUNTIF($E$2:$E$267,E236)</x:f>
        <x:v>12</x:v>
      </x:c>
      <x:c r="S236" t="n">
        <x:f>SUMIF($E$2:$E$267,E236,$J$2:$J$267)</x:f>
        <x:v>439.37210000000005</x:v>
      </x:c>
      <x:c r="T236" t="n">
        <x:f>IF(OR(NOT(ISNUMBER(Q236)),S236=0),"",Q236*('Conference pools'!$H$2/R236+'Conference pools'!$H$3*J236/S236))</x:f>
        <x:v>0</x:v>
      </x:c>
      <x:c r="U236" t="n">
        <x:f>IF(OR(NOT(ISNUMBER(P236)),NOT(ISNUMBER(T236))),"",T236-P236)</x:f>
        <x:v>0</x:v>
      </x:c>
      <x:c r="V236" s="8" t="str">
        <x:f>IF(OR(NOT(ISNUMBER(U236)),P236=0),"",U236/P236)</x:f>
      </x:c>
      <x:c r="W236" t="str">
        <x:f>IF(OR(NOT(ISNUMBER(T236)),NOT(ISNUMBER(K236))),"",T236-K236)</x:f>
      </x:c>
      <x:c r="X236" t="n">
        <x:f>IF(NOT(ISNUMBER(M236)),"",M236/N236)</x:f>
        <x:v>0</x:v>
      </x:c>
    </x:row>
    <x:row r="237">
      <x:c r="A237" t="str">
        <x:v>TEXAS_SOUTHERN</x:v>
      </x:c>
      <x:c r="B237" t="str">
        <x:v>Texas Southern University</x:v>
      </x:c>
      <x:c r="C237" t="str">
        <x:v>FCS</x:v>
      </x:c>
      <x:c r="D237" t="str">
        <x:v>Southwestern Athletic Conference</x:v>
      </x:c>
      <x:c r="E237" t="str">
        <x:v>Development Pacific</x:v>
      </x:c>
      <x:c r="F237" t="n">
        <x:v>22</x:v>
      </x:c>
      <x:c r="G237" t="n">
        <x:v>0.4451</x:v>
      </x:c>
      <x:c r="H237" t="n">
        <x:v>0.486</x:v>
      </x:c>
      <x:c r="I237" t="n">
        <x:v>36.1979</x:v>
      </x:c>
      <x:c r="J237" t="n">
        <x:f>IF(ISNUMBER(I237),MAX(1,I237),1)</x:f>
        <x:v>36.1979</x:v>
      </x:c>
      <x:c r="K237"/>
      <x:c r="L237" t="str">
        <x:v>NOT VERIFIED</x:v>
      </x:c>
      <x:c r="M237" t="n">
        <x:f>IF(COUNTIFS('Conference pools'!$A$2:$A$25,D237,'Conference pools'!$D$2:$D$25,"&gt;=0")=0,"",SUMIF('Conference pools'!$A$2:$A$25,D237,'Conference pools'!$D$2:$D$25))</x:f>
        <x:v>0</x:v>
      </x:c>
      <x:c r="N237" t="n">
        <x:f>COUNTIF($D$2:$D$267,D237)</x:f>
        <x:v>12</x:v>
      </x:c>
      <x:c r="O237" t="n">
        <x:f>SUMIF($D$2:$D$267,D237,$J$2:$J$267)</x:f>
        <x:v>469.56230000000005</x:v>
      </x:c>
      <x:c r="P237" t="n">
        <x:f>IF(OR(NOT(ISNUMBER(M237)),O237=0),"",M237*('Conference pools'!$H$2/N237+'Conference pools'!$H$3*J237/O237))</x:f>
        <x:v>0</x:v>
      </x:c>
      <x:c r="Q237" t="n">
        <x:f>IF(COUNTIFS($E$2:$E$267,E237,$X$2:$X$267,"&lt;&gt;")&lt;&gt;COUNTIF($E$2:$E$267,E237),"",SUMIF($E$2:$E$267,E237,$X$2:$X$267))</x:f>
        <x:v>0</x:v>
      </x:c>
      <x:c r="R237" t="n">
        <x:f>COUNTIF($E$2:$E$267,E237)</x:f>
        <x:v>12</x:v>
      </x:c>
      <x:c r="S237" t="n">
        <x:f>SUMIF($E$2:$E$267,E237,$J$2:$J$267)</x:f>
        <x:v>439.37210000000005</x:v>
      </x:c>
      <x:c r="T237" t="n">
        <x:f>IF(OR(NOT(ISNUMBER(Q237)),S237=0),"",Q237*('Conference pools'!$H$2/R237+'Conference pools'!$H$3*J237/S237))</x:f>
        <x:v>0</x:v>
      </x:c>
      <x:c r="U237" t="n">
        <x:f>IF(OR(NOT(ISNUMBER(P237)),NOT(ISNUMBER(T237))),"",T237-P237)</x:f>
        <x:v>0</x:v>
      </x:c>
      <x:c r="V237" s="8" t="str">
        <x:f>IF(OR(NOT(ISNUMBER(U237)),P237=0),"",U237/P237)</x:f>
      </x:c>
      <x:c r="W237" t="str">
        <x:f>IF(OR(NOT(ISNUMBER(T237)),NOT(ISNUMBER(K237))),"",T237-K237)</x:f>
      </x:c>
      <x:c r="X237" t="n">
        <x:f>IF(NOT(ISNUMBER(M237)),"",M237/N237)</x:f>
        <x:v>0</x:v>
      </x:c>
    </x:row>
    <x:row r="238">
      <x:c r="A238" t="str">
        <x:v>CAL_POLY</x:v>
      </x:c>
      <x:c r="B238" t="str">
        <x:v>California Polytechnic State University</x:v>
      </x:c>
      <x:c r="C238" t="str">
        <x:v>FCS</x:v>
      </x:c>
      <x:c r="D238" t="str">
        <x:v>Big Sky Conference</x:v>
      </x:c>
      <x:c r="E238" t="str">
        <x:v>Development Pacific</x:v>
      </x:c>
      <x:c r="F238" t="n">
        <x:v>27</x:v>
      </x:c>
      <x:c r="G238" t="n">
        <x:v>0.2984</x:v>
      </x:c>
      <x:c r="H238" t="n">
        <x:v>0.5517</x:v>
      </x:c>
      <x:c r="I238" t="n">
        <x:v>32.7849</x:v>
      </x:c>
      <x:c r="J238" t="n">
        <x:f>IF(ISNUMBER(I238),MAX(1,I238),1)</x:f>
        <x:v>32.7849</x:v>
      </x:c>
      <x:c r="K238"/>
      <x:c r="L238" t="str">
        <x:v>NOT VERIFIED</x:v>
      </x:c>
      <x:c r="M238" t="n">
        <x:f>IF(COUNTIFS('Conference pools'!$A$2:$A$25,D238,'Conference pools'!$D$2:$D$25,"&gt;=0")=0,"",SUMIF('Conference pools'!$A$2:$A$25,D238,'Conference pools'!$D$2:$D$25))</x:f>
        <x:v>0</x:v>
      </x:c>
      <x:c r="N238" t="n">
        <x:f>COUNTIF($D$2:$D$267,D238)</x:f>
        <x:v>13</x:v>
      </x:c>
      <x:c r="O238" t="n">
        <x:f>SUMIF($D$2:$D$267,D238,$J$2:$J$267)</x:f>
        <x:v>550.8658999999999</x:v>
      </x:c>
      <x:c r="P238" t="n">
        <x:f>IF(OR(NOT(ISNUMBER(M238)),O238=0),"",M238*('Conference pools'!$H$2/N238+'Conference pools'!$H$3*J238/O238))</x:f>
        <x:v>0</x:v>
      </x:c>
      <x:c r="Q238" t="n">
        <x:f>IF(COUNTIFS($E$2:$E$267,E238,$X$2:$X$267,"&lt;&gt;")&lt;&gt;COUNTIF($E$2:$E$267,E238),"",SUMIF($E$2:$E$267,E238,$X$2:$X$267))</x:f>
        <x:v>0</x:v>
      </x:c>
      <x:c r="R238" t="n">
        <x:f>COUNTIF($E$2:$E$267,E238)</x:f>
        <x:v>12</x:v>
      </x:c>
      <x:c r="S238" t="n">
        <x:f>SUMIF($E$2:$E$267,E238,$J$2:$J$267)</x:f>
        <x:v>439.37210000000005</x:v>
      </x:c>
      <x:c r="T238" t="n">
        <x:f>IF(OR(NOT(ISNUMBER(Q238)),S238=0),"",Q238*('Conference pools'!$H$2/R238+'Conference pools'!$H$3*J238/S238))</x:f>
        <x:v>0</x:v>
      </x:c>
      <x:c r="U238" t="n">
        <x:f>IF(OR(NOT(ISNUMBER(P238)),NOT(ISNUMBER(T238))),"",T238-P238)</x:f>
        <x:v>0</x:v>
      </x:c>
      <x:c r="V238" s="8" t="str">
        <x:f>IF(OR(NOT(ISNUMBER(U238)),P238=0),"",U238/P238)</x:f>
      </x:c>
      <x:c r="W238" t="str">
        <x:f>IF(OR(NOT(ISNUMBER(T238)),NOT(ISNUMBER(K238))),"",T238-K238)</x:f>
      </x:c>
      <x:c r="X238" t="n">
        <x:f>IF(NOT(ISNUMBER(M238)),"",M238/N238)</x:f>
        <x:v>0</x:v>
      </x:c>
    </x:row>
    <x:row r="239">
      <x:c r="A239" t="str">
        <x:v>UTAH_TECH</x:v>
      </x:c>
      <x:c r="B239" t="str">
        <x:v>Utah Tech University</x:v>
      </x:c>
      <x:c r="C239" t="str">
        <x:v>FCS</x:v>
      </x:c>
      <x:c r="D239" t="str">
        <x:v>Big Sky Conference</x:v>
      </x:c>
      <x:c r="E239" t="str">
        <x:v>Development Pacific</x:v>
      </x:c>
      <x:c r="F239" t="n">
        <x:v>33</x:v>
      </x:c>
      <x:c r="G239" t="n">
        <x:v>0.1409</x:v>
      </x:c>
      <x:c r="H239" t="n">
        <x:v>0.5364</x:v>
      </x:c>
      <x:c r="I239" t="n">
        <x:v>25.7332</x:v>
      </x:c>
      <x:c r="J239" t="n">
        <x:f>IF(ISNUMBER(I239),MAX(1,I239),1)</x:f>
        <x:v>25.7332</x:v>
      </x:c>
      <x:c r="K239"/>
      <x:c r="L239" t="str">
        <x:v>NOT VERIFIED</x:v>
      </x:c>
      <x:c r="M239" t="n">
        <x:f>IF(COUNTIFS('Conference pools'!$A$2:$A$25,D239,'Conference pools'!$D$2:$D$25,"&gt;=0")=0,"",SUMIF('Conference pools'!$A$2:$A$25,D239,'Conference pools'!$D$2:$D$25))</x:f>
        <x:v>0</x:v>
      </x:c>
      <x:c r="N239" t="n">
        <x:f>COUNTIF($D$2:$D$267,D239)</x:f>
        <x:v>13</x:v>
      </x:c>
      <x:c r="O239" t="n">
        <x:f>SUMIF($D$2:$D$267,D239,$J$2:$J$267)</x:f>
        <x:v>550.8658999999999</x:v>
      </x:c>
      <x:c r="P239" t="n">
        <x:f>IF(OR(NOT(ISNUMBER(M239)),O239=0),"",M239*('Conference pools'!$H$2/N239+'Conference pools'!$H$3*J239/O239))</x:f>
        <x:v>0</x:v>
      </x:c>
      <x:c r="Q239" t="n">
        <x:f>IF(COUNTIFS($E$2:$E$267,E239,$X$2:$X$267,"&lt;&gt;")&lt;&gt;COUNTIF($E$2:$E$267,E239),"",SUMIF($E$2:$E$267,E239,$X$2:$X$267))</x:f>
        <x:v>0</x:v>
      </x:c>
      <x:c r="R239" t="n">
        <x:f>COUNTIF($E$2:$E$267,E239)</x:f>
        <x:v>12</x:v>
      </x:c>
      <x:c r="S239" t="n">
        <x:f>SUMIF($E$2:$E$267,E239,$J$2:$J$267)</x:f>
        <x:v>439.37210000000005</x:v>
      </x:c>
      <x:c r="T239" t="n">
        <x:f>IF(OR(NOT(ISNUMBER(Q239)),S239=0),"",Q239*('Conference pools'!$H$2/R239+'Conference pools'!$H$3*J239/S239))</x:f>
        <x:v>0</x:v>
      </x:c>
      <x:c r="U239" t="n">
        <x:f>IF(OR(NOT(ISNUMBER(P239)),NOT(ISNUMBER(T239))),"",T239-P239)</x:f>
        <x:v>0</x:v>
      </x:c>
      <x:c r="V239" s="8" t="str">
        <x:f>IF(OR(NOT(ISNUMBER(U239)),P239=0),"",U239/P239)</x:f>
      </x:c>
      <x:c r="W239" t="str">
        <x:f>IF(OR(NOT(ISNUMBER(T239)),NOT(ISNUMBER(K239))),"",T239-K239)</x:f>
      </x:c>
      <x:c r="X239" t="n">
        <x:f>IF(NOT(ISNUMBER(M239)),"",M239/N239)</x:f>
        <x:v>0</x:v>
      </x:c>
    </x:row>
    <x:row r="240">
      <x:c r="A240" t="str">
        <x:v>MCNEESE</x:v>
      </x:c>
      <x:c r="B240" t="str">
        <x:v>McNeese State University</x:v>
      </x:c>
      <x:c r="C240" t="str">
        <x:v>FCS</x:v>
      </x:c>
      <x:c r="D240" t="str">
        <x:v>Southland Conference</x:v>
      </x:c>
      <x:c r="E240" t="str">
        <x:v>Development Pacific</x:v>
      </x:c>
      <x:c r="F240" t="n">
        <x:v>22</x:v>
      </x:c>
      <x:c r="G240" t="n">
        <x:v>0.3689</x:v>
      </x:c>
      <x:c r="H240" t="n">
        <x:v>0.4707</x:v>
      </x:c>
      <x:c r="I240" t="n">
        <x:v>36.1871</x:v>
      </x:c>
      <x:c r="J240" t="n">
        <x:f>IF(ISNUMBER(I240),MAX(1,I240),1)</x:f>
        <x:v>36.1871</x:v>
      </x:c>
      <x:c r="K240"/>
      <x:c r="L240" t="str">
        <x:v>NOT VERIFIED</x:v>
      </x:c>
      <x:c r="M240" t="n">
        <x:f>IF(COUNTIFS('Conference pools'!$A$2:$A$25,D240,'Conference pools'!$D$2:$D$25,"&gt;=0")=0,"",SUMIF('Conference pools'!$A$2:$A$25,D240,'Conference pools'!$D$2:$D$25))</x:f>
        <x:v>0</x:v>
      </x:c>
      <x:c r="N240" t="n">
        <x:f>COUNTIF($D$2:$D$267,D240)</x:f>
        <x:v>10</x:v>
      </x:c>
      <x:c r="O240" t="n">
        <x:f>SUMIF($D$2:$D$267,D240,$J$2:$J$267)</x:f>
        <x:v>391.2068</x:v>
      </x:c>
      <x:c r="P240" t="n">
        <x:f>IF(OR(NOT(ISNUMBER(M240)),O240=0),"",M240*('Conference pools'!$H$2/N240+'Conference pools'!$H$3*J240/O240))</x:f>
        <x:v>0</x:v>
      </x:c>
      <x:c r="Q240" t="n">
        <x:f>IF(COUNTIFS($E$2:$E$267,E240,$X$2:$X$267,"&lt;&gt;")&lt;&gt;COUNTIF($E$2:$E$267,E240),"",SUMIF($E$2:$E$267,E240,$X$2:$X$267))</x:f>
        <x:v>0</x:v>
      </x:c>
      <x:c r="R240" t="n">
        <x:f>COUNTIF($E$2:$E$267,E240)</x:f>
        <x:v>12</x:v>
      </x:c>
      <x:c r="S240" t="n">
        <x:f>SUMIF($E$2:$E$267,E240,$J$2:$J$267)</x:f>
        <x:v>439.37210000000005</x:v>
      </x:c>
      <x:c r="T240" t="n">
        <x:f>IF(OR(NOT(ISNUMBER(Q240)),S240=0),"",Q240*('Conference pools'!$H$2/R240+'Conference pools'!$H$3*J240/S240))</x:f>
        <x:v>0</x:v>
      </x:c>
      <x:c r="U240" t="n">
        <x:f>IF(OR(NOT(ISNUMBER(P240)),NOT(ISNUMBER(T240))),"",T240-P240)</x:f>
        <x:v>0</x:v>
      </x:c>
      <x:c r="V240" s="8" t="str">
        <x:f>IF(OR(NOT(ISNUMBER(U240)),P240=0),"",U240/P240)</x:f>
      </x:c>
      <x:c r="W240" t="str">
        <x:f>IF(OR(NOT(ISNUMBER(T240)),NOT(ISNUMBER(K240))),"",T240-K240)</x:f>
      </x:c>
      <x:c r="X240" t="n">
        <x:f>IF(NOT(ISNUMBER(M240)),"",M240/N240)</x:f>
        <x:v>0</x:v>
      </x:c>
    </x:row>
    <x:row r="241">
      <x:c r="A241" t="str">
        <x:v>EAST_TEXAS_AM</x:v>
      </x:c>
      <x:c r="B241" t="str">
        <x:v>East Texas A&amp;M University</x:v>
      </x:c>
      <x:c r="C241" t="str">
        <x:v>FCS</x:v>
      </x:c>
      <x:c r="D241" t="str">
        <x:v>Southland Conference</x:v>
      </x:c>
      <x:c r="E241" t="str">
        <x:v>Development Pacific</x:v>
      </x:c>
      <x:c r="F241" t="n">
        <x:v>31</x:v>
      </x:c>
      <x:c r="G241" t="n">
        <x:v>0.2339</x:v>
      </x:c>
      <x:c r="H241" t="n">
        <x:v>0.483</x:v>
      </x:c>
      <x:c r="I241" t="n">
        <x:v>28.2763</x:v>
      </x:c>
      <x:c r="J241" t="n">
        <x:f>IF(ISNUMBER(I241),MAX(1,I241),1)</x:f>
        <x:v>28.2763</x:v>
      </x:c>
      <x:c r="K241"/>
      <x:c r="L241" t="str">
        <x:v>NOT VERIFIED</x:v>
      </x:c>
      <x:c r="M241" t="n">
        <x:f>IF(COUNTIFS('Conference pools'!$A$2:$A$25,D241,'Conference pools'!$D$2:$D$25,"&gt;=0")=0,"",SUMIF('Conference pools'!$A$2:$A$25,D241,'Conference pools'!$D$2:$D$25))</x:f>
        <x:v>0</x:v>
      </x:c>
      <x:c r="N241" t="n">
        <x:f>COUNTIF($D$2:$D$267,D241)</x:f>
        <x:v>10</x:v>
      </x:c>
      <x:c r="O241" t="n">
        <x:f>SUMIF($D$2:$D$267,D241,$J$2:$J$267)</x:f>
        <x:v>391.2068</x:v>
      </x:c>
      <x:c r="P241" t="n">
        <x:f>IF(OR(NOT(ISNUMBER(M241)),O241=0),"",M241*('Conference pools'!$H$2/N241+'Conference pools'!$H$3*J241/O241))</x:f>
        <x:v>0</x:v>
      </x:c>
      <x:c r="Q241" t="n">
        <x:f>IF(COUNTIFS($E$2:$E$267,E241,$X$2:$X$267,"&lt;&gt;")&lt;&gt;COUNTIF($E$2:$E$267,E241),"",SUMIF($E$2:$E$267,E241,$X$2:$X$267))</x:f>
        <x:v>0</x:v>
      </x:c>
      <x:c r="R241" t="n">
        <x:f>COUNTIF($E$2:$E$267,E241)</x:f>
        <x:v>12</x:v>
      </x:c>
      <x:c r="S241" t="n">
        <x:f>SUMIF($E$2:$E$267,E241,$J$2:$J$267)</x:f>
        <x:v>439.37210000000005</x:v>
      </x:c>
      <x:c r="T241" t="n">
        <x:f>IF(OR(NOT(ISNUMBER(Q241)),S241=0),"",Q241*('Conference pools'!$H$2/R241+'Conference pools'!$H$3*J241/S241))</x:f>
        <x:v>0</x:v>
      </x:c>
      <x:c r="U241" t="n">
        <x:f>IF(OR(NOT(ISNUMBER(P241)),NOT(ISNUMBER(T241))),"",T241-P241)</x:f>
        <x:v>0</x:v>
      </x:c>
      <x:c r="V241" s="8" t="str">
        <x:f>IF(OR(NOT(ISNUMBER(U241)),P241=0),"",U241/P241)</x:f>
      </x:c>
      <x:c r="W241" t="str">
        <x:f>IF(OR(NOT(ISNUMBER(T241)),NOT(ISNUMBER(K241))),"",T241-K241)</x:f>
      </x:c>
      <x:c r="X241" t="n">
        <x:f>IF(NOT(ISNUMBER(M241)),"",M241/N241)</x:f>
        <x:v>0</x:v>
      </x:c>
    </x:row>
    <x:row r="242">
      <x:c r="A242" t="str">
        <x:v>HOUSTON_CHRISTIAN</x:v>
      </x:c>
      <x:c r="B242" t="str">
        <x:v>Houston Christian University</x:v>
      </x:c>
      <x:c r="C242" t="str">
        <x:v>FCS</x:v>
      </x:c>
      <x:c r="D242" t="str">
        <x:v>Southland Conference</x:v>
      </x:c>
      <x:c r="E242" t="str">
        <x:v>Development Pacific</x:v>
      </x:c>
      <x:c r="F242" t="n">
        <x:v>29</x:v>
      </x:c>
      <x:c r="G242" t="n">
        <x:v>0.3444</x:v>
      </x:c>
      <x:c r="H242" t="n">
        <x:v>0.4633</x:v>
      </x:c>
      <x:c r="I242" t="n">
        <x:v>31.033</x:v>
      </x:c>
      <x:c r="J242" t="n">
        <x:f>IF(ISNUMBER(I242),MAX(1,I242),1)</x:f>
        <x:v>31.033</x:v>
      </x:c>
      <x:c r="K242"/>
      <x:c r="L242" t="str">
        <x:v>NOT VERIFIED</x:v>
      </x:c>
      <x:c r="M242" t="n">
        <x:f>IF(COUNTIFS('Conference pools'!$A$2:$A$25,D242,'Conference pools'!$D$2:$D$25,"&gt;=0")=0,"",SUMIF('Conference pools'!$A$2:$A$25,D242,'Conference pools'!$D$2:$D$25))</x:f>
        <x:v>0</x:v>
      </x:c>
      <x:c r="N242" t="n">
        <x:f>COUNTIF($D$2:$D$267,D242)</x:f>
        <x:v>10</x:v>
      </x:c>
      <x:c r="O242" t="n">
        <x:f>SUMIF($D$2:$D$267,D242,$J$2:$J$267)</x:f>
        <x:v>391.2068</x:v>
      </x:c>
      <x:c r="P242" t="n">
        <x:f>IF(OR(NOT(ISNUMBER(M242)),O242=0),"",M242*('Conference pools'!$H$2/N242+'Conference pools'!$H$3*J242/O242))</x:f>
        <x:v>0</x:v>
      </x:c>
      <x:c r="Q242" t="n">
        <x:f>IF(COUNTIFS($E$2:$E$267,E242,$X$2:$X$267,"&lt;&gt;")&lt;&gt;COUNTIF($E$2:$E$267,E242),"",SUMIF($E$2:$E$267,E242,$X$2:$X$267))</x:f>
        <x:v>0</x:v>
      </x:c>
      <x:c r="R242" t="n">
        <x:f>COUNTIF($E$2:$E$267,E242)</x:f>
        <x:v>12</x:v>
      </x:c>
      <x:c r="S242" t="n">
        <x:f>SUMIF($E$2:$E$267,E242,$J$2:$J$267)</x:f>
        <x:v>439.37210000000005</x:v>
      </x:c>
      <x:c r="T242" t="n">
        <x:f>IF(OR(NOT(ISNUMBER(Q242)),S242=0),"",Q242*('Conference pools'!$H$2/R242+'Conference pools'!$H$3*J242/S242))</x:f>
        <x:v>0</x:v>
      </x:c>
      <x:c r="U242" t="n">
        <x:f>IF(OR(NOT(ISNUMBER(P242)),NOT(ISNUMBER(T242))),"",T242-P242)</x:f>
        <x:v>0</x:v>
      </x:c>
      <x:c r="V242" s="8" t="str">
        <x:f>IF(OR(NOT(ISNUMBER(U242)),P242=0),"",U242/P242)</x:f>
      </x:c>
      <x:c r="W242" t="str">
        <x:f>IF(OR(NOT(ISNUMBER(T242)),NOT(ISNUMBER(K242))),"",T242-K242)</x:f>
      </x:c>
      <x:c r="X242" t="n">
        <x:f>IF(NOT(ISNUMBER(M242)),"",M242/N242)</x:f>
        <x:v>0</x:v>
      </x:c>
    </x:row>
    <x:row r="243">
      <x:c r="A243" t="str">
        <x:v>NORTHERN_COLORADO</x:v>
      </x:c>
      <x:c r="B243" t="str">
        <x:v>University of Northern Colorado</x:v>
      </x:c>
      <x:c r="C243" t="str">
        <x:v>FCS</x:v>
      </x:c>
      <x:c r="D243" t="str">
        <x:v>Big Sky Conference</x:v>
      </x:c>
      <x:c r="E243" t="str">
        <x:v>Development Pacific</x:v>
      </x:c>
      <x:c r="F243" t="n">
        <x:v>34</x:v>
      </x:c>
      <x:c r="G243" t="n">
        <x:v>0.1663</x:v>
      </x:c>
      <x:c r="H243" t="n">
        <x:v>0.5177</x:v>
      </x:c>
      <x:c r="I243" t="n">
        <x:v>25.6283</x:v>
      </x:c>
      <x:c r="J243" t="n">
        <x:f>IF(ISNUMBER(I243),MAX(1,I243),1)</x:f>
        <x:v>25.6283</x:v>
      </x:c>
      <x:c r="K243"/>
      <x:c r="L243" t="str">
        <x:v>NOT VERIFIED</x:v>
      </x:c>
      <x:c r="M243" t="n">
        <x:f>IF(COUNTIFS('Conference pools'!$A$2:$A$25,D243,'Conference pools'!$D$2:$D$25,"&gt;=0")=0,"",SUMIF('Conference pools'!$A$2:$A$25,D243,'Conference pools'!$D$2:$D$25))</x:f>
        <x:v>0</x:v>
      </x:c>
      <x:c r="N243" t="n">
        <x:f>COUNTIF($D$2:$D$267,D243)</x:f>
        <x:v>13</x:v>
      </x:c>
      <x:c r="O243" t="n">
        <x:f>SUMIF($D$2:$D$267,D243,$J$2:$J$267)</x:f>
        <x:v>550.8658999999999</x:v>
      </x:c>
      <x:c r="P243" t="n">
        <x:f>IF(OR(NOT(ISNUMBER(M243)),O243=0),"",M243*('Conference pools'!$H$2/N243+'Conference pools'!$H$3*J243/O243))</x:f>
        <x:v>0</x:v>
      </x:c>
      <x:c r="Q243" t="n">
        <x:f>IF(COUNTIFS($E$2:$E$267,E243,$X$2:$X$267,"&lt;&gt;")&lt;&gt;COUNTIF($E$2:$E$267,E243),"",SUMIF($E$2:$E$267,E243,$X$2:$X$267))</x:f>
        <x:v>0</x:v>
      </x:c>
      <x:c r="R243" t="n">
        <x:f>COUNTIF($E$2:$E$267,E243)</x:f>
        <x:v>12</x:v>
      </x:c>
      <x:c r="S243" t="n">
        <x:f>SUMIF($E$2:$E$267,E243,$J$2:$J$267)</x:f>
        <x:v>439.37210000000005</x:v>
      </x:c>
      <x:c r="T243" t="n">
        <x:f>IF(OR(NOT(ISNUMBER(Q243)),S243=0),"",Q243*('Conference pools'!$H$2/R243+'Conference pools'!$H$3*J243/S243))</x:f>
        <x:v>0</x:v>
      </x:c>
      <x:c r="U243" t="n">
        <x:f>IF(OR(NOT(ISNUMBER(P243)),NOT(ISNUMBER(T243))),"",T243-P243)</x:f>
        <x:v>0</x:v>
      </x:c>
      <x:c r="V243" s="8" t="str">
        <x:f>IF(OR(NOT(ISNUMBER(U243)),P243=0),"",U243/P243)</x:f>
      </x:c>
      <x:c r="W243" t="str">
        <x:f>IF(OR(NOT(ISNUMBER(T243)),NOT(ISNUMBER(K243))),"",T243-K243)</x:f>
      </x:c>
      <x:c r="X243" t="n">
        <x:f>IF(NOT(ISNUMBER(M243)),"",M243/N243)</x:f>
        <x:v>0</x:v>
      </x:c>
    </x:row>
    <x:row r="244">
      <x:c r="A244" t="str">
        <x:v>UTRGV</x:v>
      </x:c>
      <x:c r="B244" t="str">
        <x:v>University of Texas Rio Grande Valley</x:v>
      </x:c>
      <x:c r="C244" t="str">
        <x:v>FCS</x:v>
      </x:c>
      <x:c r="D244" t="str">
        <x:v>Southland Conference</x:v>
      </x:c>
      <x:c r="E244" t="str">
        <x:v>Development Pacific</x:v>
      </x:c>
      <x:c r="F244" t="n">
        <x:v>5</x:v>
      </x:c>
      <x:c r="G244" t="n">
        <x:v>0.75</x:v>
      </x:c>
      <x:c r="H244" t="n">
        <x:v>0.4691</x:v>
      </x:c>
      <x:c r="I244" t="n">
        <x:v>51.3879</x:v>
      </x:c>
      <x:c r="J244" t="n">
        <x:f>IF(ISNUMBER(I244),MAX(1,I244),1)</x:f>
        <x:v>51.3879</x:v>
      </x:c>
      <x:c r="K244"/>
      <x:c r="L244" t="str">
        <x:v>NOT VERIFIED</x:v>
      </x:c>
      <x:c r="M244" t="n">
        <x:f>IF(COUNTIFS('Conference pools'!$A$2:$A$25,D244,'Conference pools'!$D$2:$D$25,"&gt;=0")=0,"",SUMIF('Conference pools'!$A$2:$A$25,D244,'Conference pools'!$D$2:$D$25))</x:f>
        <x:v>0</x:v>
      </x:c>
      <x:c r="N244" t="n">
        <x:f>COUNTIF($D$2:$D$267,D244)</x:f>
        <x:v>10</x:v>
      </x:c>
      <x:c r="O244" t="n">
        <x:f>SUMIF($D$2:$D$267,D244,$J$2:$J$267)</x:f>
        <x:v>391.2068</x:v>
      </x:c>
      <x:c r="P244" t="n">
        <x:f>IF(OR(NOT(ISNUMBER(M244)),O244=0),"",M244*('Conference pools'!$H$2/N244+'Conference pools'!$H$3*J244/O244))</x:f>
        <x:v>0</x:v>
      </x:c>
      <x:c r="Q244" t="n">
        <x:f>IF(COUNTIFS($E$2:$E$267,E244,$X$2:$X$267,"&lt;&gt;")&lt;&gt;COUNTIF($E$2:$E$267,E244),"",SUMIF($E$2:$E$267,E244,$X$2:$X$267))</x:f>
        <x:v>0</x:v>
      </x:c>
      <x:c r="R244" t="n">
        <x:f>COUNTIF($E$2:$E$267,E244)</x:f>
        <x:v>12</x:v>
      </x:c>
      <x:c r="S244" t="n">
        <x:f>SUMIF($E$2:$E$267,E244,$J$2:$J$267)</x:f>
        <x:v>439.37210000000005</x:v>
      </x:c>
      <x:c r="T244" t="n">
        <x:f>IF(OR(NOT(ISNUMBER(Q244)),S244=0),"",Q244*('Conference pools'!$H$2/R244+'Conference pools'!$H$3*J244/S244))</x:f>
        <x:v>0</x:v>
      </x:c>
      <x:c r="U244" t="n">
        <x:f>IF(OR(NOT(ISNUMBER(P244)),NOT(ISNUMBER(T244))),"",T244-P244)</x:f>
        <x:v>0</x:v>
      </x:c>
      <x:c r="V244" s="8" t="str">
        <x:f>IF(OR(NOT(ISNUMBER(U244)),P244=0),"",U244/P244)</x:f>
      </x:c>
      <x:c r="W244" t="str">
        <x:f>IF(OR(NOT(ISNUMBER(T244)),NOT(ISNUMBER(K244))),"",T244-K244)</x:f>
      </x:c>
      <x:c r="X244" t="n">
        <x:f>IF(NOT(ISNUMBER(M244)),"",M244/N244)</x:f>
        <x:v>0</x:v>
      </x:c>
    </x:row>
    <x:row r="245">
      <x:c r="A245" t="str">
        <x:v>EASTERN_ILLINOIS</x:v>
      </x:c>
      <x:c r="B245" t="str">
        <x:v>Eastern Illinois University</x:v>
      </x:c>
      <x:c r="C245" t="str">
        <x:v>FCS</x:v>
      </x:c>
      <x:c r="D245" t="str">
        <x:v>Ohio Valley Conference</x:v>
      </x:c>
      <x:c r="E245" t="str">
        <x:v>Development Plains</x:v>
      </x:c>
      <x:c r="F245" t="n">
        <x:v>25</x:v>
      </x:c>
      <x:c r="G245" t="n">
        <x:v>0.363</x:v>
      </x:c>
      <x:c r="H245" t="n">
        <x:v>0.4682</x:v>
      </x:c>
      <x:c r="I245" t="n">
        <x:v>34.1828</x:v>
      </x:c>
      <x:c r="J245" t="n">
        <x:f>IF(ISNUMBER(I245),MAX(1,I245),1)</x:f>
        <x:v>34.1828</x:v>
      </x:c>
      <x:c r="K245"/>
      <x:c r="L245" t="str">
        <x:v>NOT VERIFIED</x:v>
      </x:c>
      <x:c r="M245" t="n">
        <x:f>IF(COUNTIFS('Conference pools'!$A$2:$A$25,D245,'Conference pools'!$D$2:$D$25,"&gt;=0")=0,"",SUMIF('Conference pools'!$A$2:$A$25,D245,'Conference pools'!$D$2:$D$25))</x:f>
        <x:v>0</x:v>
      </x:c>
      <x:c r="N245" t="n">
        <x:f>COUNTIF($D$2:$D$267,D245)</x:f>
        <x:v>9</x:v>
      </x:c>
      <x:c r="O245" t="n">
        <x:f>SUMIF($D$2:$D$267,D245,$J$2:$J$267)</x:f>
        <x:v>298.6623</x:v>
      </x:c>
      <x:c r="P245" t="n">
        <x:f>IF(OR(NOT(ISNUMBER(M245)),O245=0),"",M245*('Conference pools'!$H$2/N245+'Conference pools'!$H$3*J245/O245))</x:f>
        <x:v>0</x:v>
      </x:c>
      <x:c r="Q245" t="n">
        <x:f>IF(COUNTIFS($E$2:$E$267,E245,$X$2:$X$267,"&lt;&gt;")&lt;&gt;COUNTIF($E$2:$E$267,E245),"",SUMIF($E$2:$E$267,E245,$X$2:$X$267))</x:f>
        <x:v>0</x:v>
      </x:c>
      <x:c r="R245" t="n">
        <x:f>COUNTIF($E$2:$E$267,E245)</x:f>
        <x:v>12</x:v>
      </x:c>
      <x:c r="S245" t="n">
        <x:f>SUMIF($E$2:$E$267,E245,$J$2:$J$267)</x:f>
        <x:v>388.06789999999995</x:v>
      </x:c>
      <x:c r="T245" t="n">
        <x:f>IF(OR(NOT(ISNUMBER(Q245)),S245=0),"",Q245*('Conference pools'!$H$2/R245+'Conference pools'!$H$3*J245/S245))</x:f>
        <x:v>0</x:v>
      </x:c>
      <x:c r="U245" t="n">
        <x:f>IF(OR(NOT(ISNUMBER(P245)),NOT(ISNUMBER(T245))),"",T245-P245)</x:f>
        <x:v>0</x:v>
      </x:c>
      <x:c r="V245" s="8" t="str">
        <x:f>IF(OR(NOT(ISNUMBER(U245)),P245=0),"",U245/P245)</x:f>
      </x:c>
      <x:c r="W245" t="str">
        <x:f>IF(OR(NOT(ISNUMBER(T245)),NOT(ISNUMBER(K245))),"",T245-K245)</x:f>
      </x:c>
      <x:c r="X245" t="n">
        <x:f>IF(NOT(ISNUMBER(M245)),"",M245/N245)</x:f>
        <x:v>0</x:v>
      </x:c>
    </x:row>
    <x:row r="246">
      <x:c r="A246" t="str">
        <x:v>MOREHEAD_STATE</x:v>
      </x:c>
      <x:c r="B246" t="str">
        <x:v>Morehead State University</x:v>
      </x:c>
      <x:c r="C246" t="str">
        <x:v>FCS</x:v>
      </x:c>
      <x:c r="D246" t="str">
        <x:v>Pioneer Football League</x:v>
      </x:c>
      <x:c r="E246" t="str">
        <x:v>Development Plains</x:v>
      </x:c>
      <x:c r="F246" t="n">
        <x:v>19</x:v>
      </x:c>
      <x:c r="G246" t="n">
        <x:v>0.4971</x:v>
      </x:c>
      <x:c r="H246" t="n">
        <x:v>0.5402</x:v>
      </x:c>
      <x:c r="I246" t="n">
        <x:v>37.8848</x:v>
      </x:c>
      <x:c r="J246" t="n">
        <x:f>IF(ISNUMBER(I246),MAX(1,I246),1)</x:f>
        <x:v>37.8848</x:v>
      </x:c>
      <x:c r="K246"/>
      <x:c r="L246" t="str">
        <x:v>NOT VERIFIED</x:v>
      </x:c>
      <x:c r="M246" t="n">
        <x:f>IF(COUNTIFS('Conference pools'!$A$2:$A$25,D246,'Conference pools'!$D$2:$D$25,"&gt;=0")=0,"",SUMIF('Conference pools'!$A$2:$A$25,D246,'Conference pools'!$D$2:$D$25))</x:f>
        <x:v>0</x:v>
      </x:c>
      <x:c r="N246" t="n">
        <x:f>COUNTIF($D$2:$D$267,D246)</x:f>
        <x:v>11</x:v>
      </x:c>
      <x:c r="O246" t="n">
        <x:f>SUMIF($D$2:$D$267,D246,$J$2:$J$267)</x:f>
        <x:v>418.72029999999995</x:v>
      </x:c>
      <x:c r="P246" t="n">
        <x:f>IF(OR(NOT(ISNUMBER(M246)),O246=0),"",M246*('Conference pools'!$H$2/N246+'Conference pools'!$H$3*J246/O246))</x:f>
        <x:v>0</x:v>
      </x:c>
      <x:c r="Q246" t="n">
        <x:f>IF(COUNTIFS($E$2:$E$267,E246,$X$2:$X$267,"&lt;&gt;")&lt;&gt;COUNTIF($E$2:$E$267,E246),"",SUMIF($E$2:$E$267,E246,$X$2:$X$267))</x:f>
        <x:v>0</x:v>
      </x:c>
      <x:c r="R246" t="n">
        <x:f>COUNTIF($E$2:$E$267,E246)</x:f>
        <x:v>12</x:v>
      </x:c>
      <x:c r="S246" t="n">
        <x:f>SUMIF($E$2:$E$267,E246,$J$2:$J$267)</x:f>
        <x:v>388.06789999999995</x:v>
      </x:c>
      <x:c r="T246" t="n">
        <x:f>IF(OR(NOT(ISNUMBER(Q246)),S246=0),"",Q246*('Conference pools'!$H$2/R246+'Conference pools'!$H$3*J246/S246))</x:f>
        <x:v>0</x:v>
      </x:c>
      <x:c r="U246" t="n">
        <x:f>IF(OR(NOT(ISNUMBER(P246)),NOT(ISNUMBER(T246))),"",T246-P246)</x:f>
        <x:v>0</x:v>
      </x:c>
      <x:c r="V246" s="8" t="str">
        <x:f>IF(OR(NOT(ISNUMBER(U246)),P246=0),"",U246/P246)</x:f>
      </x:c>
      <x:c r="W246" t="str">
        <x:f>IF(OR(NOT(ISNUMBER(T246)),NOT(ISNUMBER(K246))),"",T246-K246)</x:f>
      </x:c>
      <x:c r="X246" t="n">
        <x:f>IF(NOT(ISNUMBER(M246)),"",M246/N246)</x:f>
        <x:v>0</x:v>
      </x:c>
    </x:row>
    <x:row r="247">
      <x:c r="A247" t="str">
        <x:v>ROBERT_MORRIS</x:v>
      </x:c>
      <x:c r="B247" t="str">
        <x:v>Robert Morris University</x:v>
      </x:c>
      <x:c r="C247" t="str">
        <x:v>FCS</x:v>
      </x:c>
      <x:c r="D247" t="str">
        <x:v>Northeast Conference</x:v>
      </x:c>
      <x:c r="E247" t="str">
        <x:v>Development Plains</x:v>
      </x:c>
      <x:c r="F247" t="n">
        <x:v>26</x:v>
      </x:c>
      <x:c r="G247" t="n">
        <x:v>0.3943</x:v>
      </x:c>
      <x:c r="H247" t="n">
        <x:v>0.4257</x:v>
      </x:c>
      <x:c r="I247" t="n">
        <x:v>33.3524</x:v>
      </x:c>
      <x:c r="J247" t="n">
        <x:f>IF(ISNUMBER(I247),MAX(1,I247),1)</x:f>
        <x:v>33.3524</x:v>
      </x:c>
      <x:c r="K247"/>
      <x:c r="L247" t="str">
        <x:v>NOT VERIFIED</x:v>
      </x:c>
      <x:c r="M247" t="n">
        <x:f>IF(COUNTIFS('Conference pools'!$A$2:$A$25,D247,'Conference pools'!$D$2:$D$25,"&gt;=0")=0,"",SUMIF('Conference pools'!$A$2:$A$25,D247,'Conference pools'!$D$2:$D$25))</x:f>
        <x:v>0</x:v>
      </x:c>
      <x:c r="N247" t="n">
        <x:f>COUNTIF($D$2:$D$267,D247)</x:f>
        <x:v>8</x:v>
      </x:c>
      <x:c r="O247" t="n">
        <x:f>SUMIF($D$2:$D$267,D247,$J$2:$J$267)</x:f>
        <x:v>291.4439</x:v>
      </x:c>
      <x:c r="P247" t="n">
        <x:f>IF(OR(NOT(ISNUMBER(M247)),O247=0),"",M247*('Conference pools'!$H$2/N247+'Conference pools'!$H$3*J247/O247))</x:f>
        <x:v>0</x:v>
      </x:c>
      <x:c r="Q247" t="n">
        <x:f>IF(COUNTIFS($E$2:$E$267,E247,$X$2:$X$267,"&lt;&gt;")&lt;&gt;COUNTIF($E$2:$E$267,E247),"",SUMIF($E$2:$E$267,E247,$X$2:$X$267))</x:f>
        <x:v>0</x:v>
      </x:c>
      <x:c r="R247" t="n">
        <x:f>COUNTIF($E$2:$E$267,E247)</x:f>
        <x:v>12</x:v>
      </x:c>
      <x:c r="S247" t="n">
        <x:f>SUMIF($E$2:$E$267,E247,$J$2:$J$267)</x:f>
        <x:v>388.06789999999995</x:v>
      </x:c>
      <x:c r="T247" t="n">
        <x:f>IF(OR(NOT(ISNUMBER(Q247)),S247=0),"",Q247*('Conference pools'!$H$2/R247+'Conference pools'!$H$3*J247/S247))</x:f>
        <x:v>0</x:v>
      </x:c>
      <x:c r="U247" t="n">
        <x:f>IF(OR(NOT(ISNUMBER(P247)),NOT(ISNUMBER(T247))),"",T247-P247)</x:f>
        <x:v>0</x:v>
      </x:c>
      <x:c r="V247" s="8" t="str">
        <x:f>IF(OR(NOT(ISNUMBER(U247)),P247=0),"",U247/P247)</x:f>
      </x:c>
      <x:c r="W247" t="str">
        <x:f>IF(OR(NOT(ISNUMBER(T247)),NOT(ISNUMBER(K247))),"",T247-K247)</x:f>
      </x:c>
      <x:c r="X247" t="n">
        <x:f>IF(NOT(ISNUMBER(M247)),"",M247/N247)</x:f>
        <x:v>0</x:v>
      </x:c>
    </x:row>
    <x:row r="248">
      <x:c r="A248" t="str">
        <x:v>VALPARAISO</x:v>
      </x:c>
      <x:c r="B248" t="str">
        <x:v>Valparaiso University</x:v>
      </x:c>
      <x:c r="C248" t="str">
        <x:v>FCS</x:v>
      </x:c>
      <x:c r="D248" t="str">
        <x:v>Pioneer Football League</x:v>
      </x:c>
      <x:c r="E248" t="str">
        <x:v>Development Plains</x:v>
      </x:c>
      <x:c r="F248" t="n">
        <x:v>32</x:v>
      </x:c>
      <x:c r="G248" t="n">
        <x:v>0.2581</x:v>
      </x:c>
      <x:c r="H248" t="n">
        <x:v>0.5175</x:v>
      </x:c>
      <x:c r="I248" t="n">
        <x:v>27.4099</x:v>
      </x:c>
      <x:c r="J248" t="n">
        <x:f>IF(ISNUMBER(I248),MAX(1,I248),1)</x:f>
        <x:v>27.4099</x:v>
      </x:c>
      <x:c r="K248"/>
      <x:c r="L248" t="str">
        <x:v>NOT VERIFIED</x:v>
      </x:c>
      <x:c r="M248" t="n">
        <x:f>IF(COUNTIFS('Conference pools'!$A$2:$A$25,D248,'Conference pools'!$D$2:$D$25,"&gt;=0")=0,"",SUMIF('Conference pools'!$A$2:$A$25,D248,'Conference pools'!$D$2:$D$25))</x:f>
        <x:v>0</x:v>
      </x:c>
      <x:c r="N248" t="n">
        <x:f>COUNTIF($D$2:$D$267,D248)</x:f>
        <x:v>11</x:v>
      </x:c>
      <x:c r="O248" t="n">
        <x:f>SUMIF($D$2:$D$267,D248,$J$2:$J$267)</x:f>
        <x:v>418.72029999999995</x:v>
      </x:c>
      <x:c r="P248" t="n">
        <x:f>IF(OR(NOT(ISNUMBER(M248)),O248=0),"",M248*('Conference pools'!$H$2/N248+'Conference pools'!$H$3*J248/O248))</x:f>
        <x:v>0</x:v>
      </x:c>
      <x:c r="Q248" t="n">
        <x:f>IF(COUNTIFS($E$2:$E$267,E248,$X$2:$X$267,"&lt;&gt;")&lt;&gt;COUNTIF($E$2:$E$267,E248),"",SUMIF($E$2:$E$267,E248,$X$2:$X$267))</x:f>
        <x:v>0</x:v>
      </x:c>
      <x:c r="R248" t="n">
        <x:f>COUNTIF($E$2:$E$267,E248)</x:f>
        <x:v>12</x:v>
      </x:c>
      <x:c r="S248" t="n">
        <x:f>SUMIF($E$2:$E$267,E248,$J$2:$J$267)</x:f>
        <x:v>388.06789999999995</x:v>
      </x:c>
      <x:c r="T248" t="n">
        <x:f>IF(OR(NOT(ISNUMBER(Q248)),S248=0),"",Q248*('Conference pools'!$H$2/R248+'Conference pools'!$H$3*J248/S248))</x:f>
        <x:v>0</x:v>
      </x:c>
      <x:c r="U248" t="n">
        <x:f>IF(OR(NOT(ISNUMBER(P248)),NOT(ISNUMBER(T248))),"",T248-P248)</x:f>
        <x:v>0</x:v>
      </x:c>
      <x:c r="V248" s="8" t="str">
        <x:f>IF(OR(NOT(ISNUMBER(U248)),P248=0),"",U248/P248)</x:f>
      </x:c>
      <x:c r="W248" t="str">
        <x:f>IF(OR(NOT(ISNUMBER(T248)),NOT(ISNUMBER(K248))),"",T248-K248)</x:f>
      </x:c>
      <x:c r="X248" t="n">
        <x:f>IF(NOT(ISNUMBER(M248)),"",M248/N248)</x:f>
        <x:v>0</x:v>
      </x:c>
    </x:row>
    <x:row r="249">
      <x:c r="A249" t="str">
        <x:v>INDIANA_STATE</x:v>
      </x:c>
      <x:c r="B249" t="str">
        <x:v>Indiana State University</x:v>
      </x:c>
      <x:c r="C249" t="str">
        <x:v>FCS</x:v>
      </x:c>
      <x:c r="D249" t="str">
        <x:v>Missouri Valley Football Conference</x:v>
      </x:c>
      <x:c r="E249" t="str">
        <x:v>Development Plains</x:v>
      </x:c>
      <x:c r="F249" t="n">
        <x:v>30</x:v>
      </x:c>
      <x:c r="G249" t="n">
        <x:v>0.2417</x:v>
      </x:c>
      <x:c r="H249" t="n">
        <x:v>0.5035</x:v>
      </x:c>
      <x:c r="I249" t="n">
        <x:v>30.2725</x:v>
      </x:c>
      <x:c r="J249" t="n">
        <x:f>IF(ISNUMBER(I249),MAX(1,I249),1)</x:f>
        <x:v>30.2725</x:v>
      </x:c>
      <x:c r="K249"/>
      <x:c r="L249" t="str">
        <x:v>NOT VERIFIED</x:v>
      </x:c>
      <x:c r="M249" t="n">
        <x:f>IF(COUNTIFS('Conference pools'!$A$2:$A$25,D249,'Conference pools'!$D$2:$D$25,"&gt;=0")=0,"",SUMIF('Conference pools'!$A$2:$A$25,D249,'Conference pools'!$D$2:$D$25))</x:f>
        <x:v>0</x:v>
      </x:c>
      <x:c r="N249" t="n">
        <x:f>COUNTIF($D$2:$D$267,D249)</x:f>
        <x:v>9</x:v>
      </x:c>
      <x:c r="O249" t="n">
        <x:f>SUMIF($D$2:$D$267,D249,$J$2:$J$267)</x:f>
        <x:v>406.3407</x:v>
      </x:c>
      <x:c r="P249" t="n">
        <x:f>IF(OR(NOT(ISNUMBER(M249)),O249=0),"",M249*('Conference pools'!$H$2/N249+'Conference pools'!$H$3*J249/O249))</x:f>
        <x:v>0</x:v>
      </x:c>
      <x:c r="Q249" t="n">
        <x:f>IF(COUNTIFS($E$2:$E$267,E249,$X$2:$X$267,"&lt;&gt;")&lt;&gt;COUNTIF($E$2:$E$267,E249),"",SUMIF($E$2:$E$267,E249,$X$2:$X$267))</x:f>
        <x:v>0</x:v>
      </x:c>
      <x:c r="R249" t="n">
        <x:f>COUNTIF($E$2:$E$267,E249)</x:f>
        <x:v>12</x:v>
      </x:c>
      <x:c r="S249" t="n">
        <x:f>SUMIF($E$2:$E$267,E249,$J$2:$J$267)</x:f>
        <x:v>388.06789999999995</x:v>
      </x:c>
      <x:c r="T249" t="n">
        <x:f>IF(OR(NOT(ISNUMBER(Q249)),S249=0),"",Q249*('Conference pools'!$H$2/R249+'Conference pools'!$H$3*J249/S249))</x:f>
        <x:v>0</x:v>
      </x:c>
      <x:c r="U249" t="n">
        <x:f>IF(OR(NOT(ISNUMBER(P249)),NOT(ISNUMBER(T249))),"",T249-P249)</x:f>
        <x:v>0</x:v>
      </x:c>
      <x:c r="V249" s="8" t="str">
        <x:f>IF(OR(NOT(ISNUMBER(U249)),P249=0),"",U249/P249)</x:f>
      </x:c>
      <x:c r="W249" t="str">
        <x:f>IF(OR(NOT(ISNUMBER(T249)),NOT(ISNUMBER(K249))),"",T249-K249)</x:f>
      </x:c>
      <x:c r="X249" t="n">
        <x:f>IF(NOT(ISNUMBER(M249)),"",M249/N249)</x:f>
        <x:v>0</x:v>
      </x:c>
    </x:row>
    <x:row r="250">
      <x:c r="A250" t="str">
        <x:v>CHICAGO_STATE</x:v>
      </x:c>
      <x:c r="B250" t="str">
        <x:v>Chicago State University</x:v>
      </x:c>
      <x:c r="C250" t="str">
        <x:v>FCS</x:v>
      </x:c>
      <x:c r="D250" t="str">
        <x:v>Independent</x:v>
      </x:c>
      <x:c r="E250" t="str">
        <x:v>Development Plains</x:v>
      </x:c>
      <x:c r="F250" t="n">
        <x:v>6</x:v>
      </x:c>
      <x:c r="G250"/>
      <x:c r="H250"/>
      <x:c r="I250" t="n">
        <x:v>50</x:v>
      </x:c>
      <x:c r="J250" t="n">
        <x:f>IF(ISNUMBER(I250),MAX(1,I250),1)</x:f>
        <x:v>50</x:v>
      </x:c>
      <x:c r="K250"/>
      <x:c r="L250" t="str">
        <x:v>NOT VERIFIED</x:v>
      </x:c>
      <x:c r="M250" t="n">
        <x:f>IF(COUNTIFS('Conference pools'!$A$2:$A$25,D250,'Conference pools'!$D$2:$D$25,"&gt;=0")=0,"",SUMIF('Conference pools'!$A$2:$A$25,D250,'Conference pools'!$D$2:$D$25))</x:f>
        <x:v>0</x:v>
      </x:c>
      <x:c r="N250" t="n">
        <x:f>COUNTIF($D$2:$D$267,D250)</x:f>
        <x:v>4</x:v>
      </x:c>
      <x:c r="O250" t="n">
        <x:f>SUMIF($D$2:$D$267,D250,$J$2:$J$267)</x:f>
        <x:v>208.1923</x:v>
      </x:c>
      <x:c r="P250" t="n">
        <x:f>IF(OR(NOT(ISNUMBER(M250)),O250=0),"",M250*('Conference pools'!$H$2/N250+'Conference pools'!$H$3*J250/O250))</x:f>
        <x:v>0</x:v>
      </x:c>
      <x:c r="Q250" t="n">
        <x:f>IF(COUNTIFS($E$2:$E$267,E250,$X$2:$X$267,"&lt;&gt;")&lt;&gt;COUNTIF($E$2:$E$267,E250),"",SUMIF($E$2:$E$267,E250,$X$2:$X$267))</x:f>
        <x:v>0</x:v>
      </x:c>
      <x:c r="R250" t="n">
        <x:f>COUNTIF($E$2:$E$267,E250)</x:f>
        <x:v>12</x:v>
      </x:c>
      <x:c r="S250" t="n">
        <x:f>SUMIF($E$2:$E$267,E250,$J$2:$J$267)</x:f>
        <x:v>388.06789999999995</x:v>
      </x:c>
      <x:c r="T250" t="n">
        <x:f>IF(OR(NOT(ISNUMBER(Q250)),S250=0),"",Q250*('Conference pools'!$H$2/R250+'Conference pools'!$H$3*J250/S250))</x:f>
        <x:v>0</x:v>
      </x:c>
      <x:c r="U250" t="n">
        <x:f>IF(OR(NOT(ISNUMBER(P250)),NOT(ISNUMBER(T250))),"",T250-P250)</x:f>
        <x:v>0</x:v>
      </x:c>
      <x:c r="V250" s="8" t="str">
        <x:f>IF(OR(NOT(ISNUMBER(U250)),P250=0),"",U250/P250)</x:f>
      </x:c>
      <x:c r="W250" t="str">
        <x:f>IF(OR(NOT(ISNUMBER(T250)),NOT(ISNUMBER(K250))),"",T250-K250)</x:f>
      </x:c>
      <x:c r="X250" t="n">
        <x:f>IF(NOT(ISNUMBER(M250)),"",M250/N250)</x:f>
        <x:v>0</x:v>
      </x:c>
    </x:row>
    <x:row r="251">
      <x:c r="A251" t="str">
        <x:v>ETSU</x:v>
      </x:c>
      <x:c r="B251" t="str">
        <x:v>East Tennessee State University</x:v>
      </x:c>
      <x:c r="C251" t="str">
        <x:v>FCS</x:v>
      </x:c>
      <x:c r="D251" t="str">
        <x:v>Southern Conference</x:v>
      </x:c>
      <x:c r="E251" t="str">
        <x:v>Development Plains</x:v>
      </x:c>
      <x:c r="F251" t="n">
        <x:v>13</x:v>
      </x:c>
      <x:c r="G251" t="n">
        <x:v>0.5098</x:v>
      </x:c>
      <x:c r="H251" t="n">
        <x:v>0.4703</x:v>
      </x:c>
      <x:c r="I251" t="n">
        <x:v>42.1848</x:v>
      </x:c>
      <x:c r="J251" t="n">
        <x:f>IF(ISNUMBER(I251),MAX(1,I251),1)</x:f>
        <x:v>42.1848</x:v>
      </x:c>
      <x:c r="K251"/>
      <x:c r="L251" t="str">
        <x:v>NOT VERIFIED</x:v>
      </x:c>
      <x:c r="M251" t="n">
        <x:f>IF(COUNTIFS('Conference pools'!$A$2:$A$25,D251,'Conference pools'!$D$2:$D$25,"&gt;=0")=0,"",SUMIF('Conference pools'!$A$2:$A$25,D251,'Conference pools'!$D$2:$D$25))</x:f>
        <x:v>0</x:v>
      </x:c>
      <x:c r="N251" t="n">
        <x:f>COUNTIF($D$2:$D$267,D251)</x:f>
        <x:v>10</x:v>
      </x:c>
      <x:c r="O251" t="n">
        <x:f>SUMIF($D$2:$D$267,D251,$J$2:$J$267)</x:f>
        <x:v>405.9278999999999</x:v>
      </x:c>
      <x:c r="P251" t="n">
        <x:f>IF(OR(NOT(ISNUMBER(M251)),O251=0),"",M251*('Conference pools'!$H$2/N251+'Conference pools'!$H$3*J251/O251))</x:f>
        <x:v>0</x:v>
      </x:c>
      <x:c r="Q251" t="n">
        <x:f>IF(COUNTIFS($E$2:$E$267,E251,$X$2:$X$267,"&lt;&gt;")&lt;&gt;COUNTIF($E$2:$E$267,E251),"",SUMIF($E$2:$E$267,E251,$X$2:$X$267))</x:f>
        <x:v>0</x:v>
      </x:c>
      <x:c r="R251" t="n">
        <x:f>COUNTIF($E$2:$E$267,E251)</x:f>
        <x:v>12</x:v>
      </x:c>
      <x:c r="S251" t="n">
        <x:f>SUMIF($E$2:$E$267,E251,$J$2:$J$267)</x:f>
        <x:v>388.06789999999995</x:v>
      </x:c>
      <x:c r="T251" t="n">
        <x:f>IF(OR(NOT(ISNUMBER(Q251)),S251=0),"",Q251*('Conference pools'!$H$2/R251+'Conference pools'!$H$3*J251/S251))</x:f>
        <x:v>0</x:v>
      </x:c>
      <x:c r="U251" t="n">
        <x:f>IF(OR(NOT(ISNUMBER(P251)),NOT(ISNUMBER(T251))),"",T251-P251)</x:f>
        <x:v>0</x:v>
      </x:c>
      <x:c r="V251" s="8" t="str">
        <x:f>IF(OR(NOT(ISNUMBER(U251)),P251=0),"",U251/P251)</x:f>
      </x:c>
      <x:c r="W251" t="str">
        <x:f>IF(OR(NOT(ISNUMBER(T251)),NOT(ISNUMBER(K251))),"",T251-K251)</x:f>
      </x:c>
      <x:c r="X251" t="n">
        <x:f>IF(NOT(ISNUMBER(M251)),"",M251/N251)</x:f>
        <x:v>0</x:v>
      </x:c>
    </x:row>
    <x:row r="252">
      <x:c r="A252" t="str">
        <x:v>MERCYHURST</x:v>
      </x:c>
      <x:c r="B252" t="str">
        <x:v>Mercyhurst University</x:v>
      </x:c>
      <x:c r="C252" t="str">
        <x:v>FCS</x:v>
      </x:c>
      <x:c r="D252" t="str">
        <x:v>Northeast Conference</x:v>
      </x:c>
      <x:c r="E252" t="str">
        <x:v>Development Plains</x:v>
      </x:c>
      <x:c r="F252" t="n">
        <x:v>20</x:v>
      </x:c>
      <x:c r="G252"/>
      <x:c r="H252"/>
      <x:c r="I252" t="n">
        <x:v>37.24</x:v>
      </x:c>
      <x:c r="J252" t="n">
        <x:f>IF(ISNUMBER(I252),MAX(1,I252),1)</x:f>
        <x:v>37.24</x:v>
      </x:c>
      <x:c r="K252"/>
      <x:c r="L252" t="str">
        <x:v>NOT VERIFIED</x:v>
      </x:c>
      <x:c r="M252" t="n">
        <x:f>IF(COUNTIFS('Conference pools'!$A$2:$A$25,D252,'Conference pools'!$D$2:$D$25,"&gt;=0")=0,"",SUMIF('Conference pools'!$A$2:$A$25,D252,'Conference pools'!$D$2:$D$25))</x:f>
        <x:v>0</x:v>
      </x:c>
      <x:c r="N252" t="n">
        <x:f>COUNTIF($D$2:$D$267,D252)</x:f>
        <x:v>8</x:v>
      </x:c>
      <x:c r="O252" t="n">
        <x:f>SUMIF($D$2:$D$267,D252,$J$2:$J$267)</x:f>
        <x:v>291.4439</x:v>
      </x:c>
      <x:c r="P252" t="n">
        <x:f>IF(OR(NOT(ISNUMBER(M252)),O252=0),"",M252*('Conference pools'!$H$2/N252+'Conference pools'!$H$3*J252/O252))</x:f>
        <x:v>0</x:v>
      </x:c>
      <x:c r="Q252" t="n">
        <x:f>IF(COUNTIFS($E$2:$E$267,E252,$X$2:$X$267,"&lt;&gt;")&lt;&gt;COUNTIF($E$2:$E$267,E252),"",SUMIF($E$2:$E$267,E252,$X$2:$X$267))</x:f>
        <x:v>0</x:v>
      </x:c>
      <x:c r="R252" t="n">
        <x:f>COUNTIF($E$2:$E$267,E252)</x:f>
        <x:v>12</x:v>
      </x:c>
      <x:c r="S252" t="n">
        <x:f>SUMIF($E$2:$E$267,E252,$J$2:$J$267)</x:f>
        <x:v>388.06789999999995</x:v>
      </x:c>
      <x:c r="T252" t="n">
        <x:f>IF(OR(NOT(ISNUMBER(Q252)),S252=0),"",Q252*('Conference pools'!$H$2/R252+'Conference pools'!$H$3*J252/S252))</x:f>
        <x:v>0</x:v>
      </x:c>
      <x:c r="U252" t="n">
        <x:f>IF(OR(NOT(ISNUMBER(P252)),NOT(ISNUMBER(T252))),"",T252-P252)</x:f>
        <x:v>0</x:v>
      </x:c>
      <x:c r="V252" s="8" t="str">
        <x:f>IF(OR(NOT(ISNUMBER(U252)),P252=0),"",U252/P252)</x:f>
      </x:c>
      <x:c r="W252" t="str">
        <x:f>IF(OR(NOT(ISNUMBER(T252)),NOT(ISNUMBER(K252))),"",T252-K252)</x:f>
      </x:c>
      <x:c r="X252" t="n">
        <x:f>IF(NOT(ISNUMBER(M252)),"",M252/N252)</x:f>
        <x:v>0</x:v>
      </x:c>
    </x:row>
    <x:row r="253">
      <x:c r="A253" t="str">
        <x:v>ST_THOMAS</x:v>
      </x:c>
      <x:c r="B253" t="str">
        <x:v>University of St. Thomas</x:v>
      </x:c>
      <x:c r="C253" t="str">
        <x:v>FCS</x:v>
      </x:c>
      <x:c r="D253" t="str">
        <x:v>Pioneer Football League</x:v>
      </x:c>
      <x:c r="E253" t="str">
        <x:v>Development Plains</x:v>
      </x:c>
      <x:c r="F253" t="n">
        <x:v>17</x:v>
      </x:c>
      <x:c r="G253"/>
      <x:c r="H253"/>
      <x:c r="I253" t="n">
        <x:v>39.698</x:v>
      </x:c>
      <x:c r="J253" t="n">
        <x:f>IF(ISNUMBER(I253),MAX(1,I253),1)</x:f>
        <x:v>39.698</x:v>
      </x:c>
      <x:c r="K253"/>
      <x:c r="L253" t="str">
        <x:v>NOT VERIFIED</x:v>
      </x:c>
      <x:c r="M253" t="n">
        <x:f>IF(COUNTIFS('Conference pools'!$A$2:$A$25,D253,'Conference pools'!$D$2:$D$25,"&gt;=0")=0,"",SUMIF('Conference pools'!$A$2:$A$25,D253,'Conference pools'!$D$2:$D$25))</x:f>
        <x:v>0</x:v>
      </x:c>
      <x:c r="N253" t="n">
        <x:f>COUNTIF($D$2:$D$267,D253)</x:f>
        <x:v>11</x:v>
      </x:c>
      <x:c r="O253" t="n">
        <x:f>SUMIF($D$2:$D$267,D253,$J$2:$J$267)</x:f>
        <x:v>418.72029999999995</x:v>
      </x:c>
      <x:c r="P253" t="n">
        <x:f>IF(OR(NOT(ISNUMBER(M253)),O253=0),"",M253*('Conference pools'!$H$2/N253+'Conference pools'!$H$3*J253/O253))</x:f>
        <x:v>0</x:v>
      </x:c>
      <x:c r="Q253" t="n">
        <x:f>IF(COUNTIFS($E$2:$E$267,E253,$X$2:$X$267,"&lt;&gt;")&lt;&gt;COUNTIF($E$2:$E$267,E253),"",SUMIF($E$2:$E$267,E253,$X$2:$X$267))</x:f>
        <x:v>0</x:v>
      </x:c>
      <x:c r="R253" t="n">
        <x:f>COUNTIF($E$2:$E$267,E253)</x:f>
        <x:v>12</x:v>
      </x:c>
      <x:c r="S253" t="n">
        <x:f>SUMIF($E$2:$E$267,E253,$J$2:$J$267)</x:f>
        <x:v>388.06789999999995</x:v>
      </x:c>
      <x:c r="T253" t="n">
        <x:f>IF(OR(NOT(ISNUMBER(Q253)),S253=0),"",Q253*('Conference pools'!$H$2/R253+'Conference pools'!$H$3*J253/S253))</x:f>
        <x:v>0</x:v>
      </x:c>
      <x:c r="U253" t="n">
        <x:f>IF(OR(NOT(ISNUMBER(P253)),NOT(ISNUMBER(T253))),"",T253-P253)</x:f>
        <x:v>0</x:v>
      </x:c>
      <x:c r="V253" s="8" t="str">
        <x:f>IF(OR(NOT(ISNUMBER(U253)),P253=0),"",U253/P253)</x:f>
      </x:c>
      <x:c r="W253" t="str">
        <x:f>IF(OR(NOT(ISNUMBER(T253)),NOT(ISNUMBER(K253))),"",T253-K253)</x:f>
      </x:c>
      <x:c r="X253" t="n">
        <x:f>IF(NOT(ISNUMBER(M253)),"",M253/N253)</x:f>
        <x:v>0</x:v>
      </x:c>
    </x:row>
    <x:row r="254">
      <x:c r="A254" t="str">
        <x:v>VMI</x:v>
      </x:c>
      <x:c r="B254" t="str">
        <x:v>Virginia Military Institute</x:v>
      </x:c>
      <x:c r="C254" t="str">
        <x:v>FCS</x:v>
      </x:c>
      <x:c r="D254" t="str">
        <x:v>Southern Conference</x:v>
      </x:c>
      <x:c r="E254" t="str">
        <x:v>Development Plains</x:v>
      </x:c>
      <x:c r="F254" t="n">
        <x:v>33</x:v>
      </x:c>
      <x:c r="G254" t="n">
        <x:v>0.1712</x:v>
      </x:c>
      <x:c r="H254" t="n">
        <x:v>0.4954</x:v>
      </x:c>
      <x:c r="I254" t="n">
        <x:v>25.7125</x:v>
      </x:c>
      <x:c r="J254" t="n">
        <x:f>IF(ISNUMBER(I254),MAX(1,I254),1)</x:f>
        <x:v>25.7125</x:v>
      </x:c>
      <x:c r="K254"/>
      <x:c r="L254" t="str">
        <x:v>NOT VERIFIED</x:v>
      </x:c>
      <x:c r="M254" t="n">
        <x:f>IF(COUNTIFS('Conference pools'!$A$2:$A$25,D254,'Conference pools'!$D$2:$D$25,"&gt;=0")=0,"",SUMIF('Conference pools'!$A$2:$A$25,D254,'Conference pools'!$D$2:$D$25))</x:f>
        <x:v>0</x:v>
      </x:c>
      <x:c r="N254" t="n">
        <x:f>COUNTIF($D$2:$D$267,D254)</x:f>
        <x:v>10</x:v>
      </x:c>
      <x:c r="O254" t="n">
        <x:f>SUMIF($D$2:$D$267,D254,$J$2:$J$267)</x:f>
        <x:v>405.9278999999999</x:v>
      </x:c>
      <x:c r="P254" t="n">
        <x:f>IF(OR(NOT(ISNUMBER(M254)),O254=0),"",M254*('Conference pools'!$H$2/N254+'Conference pools'!$H$3*J254/O254))</x:f>
        <x:v>0</x:v>
      </x:c>
      <x:c r="Q254" t="n">
        <x:f>IF(COUNTIFS($E$2:$E$267,E254,$X$2:$X$267,"&lt;&gt;")&lt;&gt;COUNTIF($E$2:$E$267,E254),"",SUMIF($E$2:$E$267,E254,$X$2:$X$267))</x:f>
        <x:v>0</x:v>
      </x:c>
      <x:c r="R254" t="n">
        <x:f>COUNTIF($E$2:$E$267,E254)</x:f>
        <x:v>12</x:v>
      </x:c>
      <x:c r="S254" t="n">
        <x:f>SUMIF($E$2:$E$267,E254,$J$2:$J$267)</x:f>
        <x:v>388.06789999999995</x:v>
      </x:c>
      <x:c r="T254" t="n">
        <x:f>IF(OR(NOT(ISNUMBER(Q254)),S254=0),"",Q254*('Conference pools'!$H$2/R254+'Conference pools'!$H$3*J254/S254))</x:f>
        <x:v>0</x:v>
      </x:c>
      <x:c r="U254" t="n">
        <x:f>IF(OR(NOT(ISNUMBER(P254)),NOT(ISNUMBER(T254))),"",T254-P254)</x:f>
        <x:v>0</x:v>
      </x:c>
      <x:c r="V254" s="8" t="str">
        <x:f>IF(OR(NOT(ISNUMBER(U254)),P254=0),"",U254/P254)</x:f>
      </x:c>
      <x:c r="W254" t="str">
        <x:f>IF(OR(NOT(ISNUMBER(T254)),NOT(ISNUMBER(K254))),"",T254-K254)</x:f>
      </x:c>
      <x:c r="X254" t="n">
        <x:f>IF(NOT(ISNUMBER(M254)),"",M254/N254)</x:f>
        <x:v>0</x:v>
      </x:c>
    </x:row>
    <x:row r="255">
      <x:c r="A255" t="str">
        <x:v>WESTERN_ILLINOIS</x:v>
      </x:c>
      <x:c r="B255" t="str">
        <x:v>Western Illinois University</x:v>
      </x:c>
      <x:c r="C255" t="str">
        <x:v>FCS</x:v>
      </x:c>
      <x:c r="D255" t="str">
        <x:v>Ohio Valley Conference</x:v>
      </x:c>
      <x:c r="E255" t="str">
        <x:v>Development Plains</x:v>
      </x:c>
      <x:c r="F255" t="n">
        <x:v>30</x:v>
      </x:c>
      <x:c r="G255" t="n">
        <x:v>0.2544</x:v>
      </x:c>
      <x:c r="H255" t="n">
        <x:v>0.4949</x:v>
      </x:c>
      <x:c r="I255" t="n">
        <x:v>29.1302</x:v>
      </x:c>
      <x:c r="J255" t="n">
        <x:f>IF(ISNUMBER(I255),MAX(1,I255),1)</x:f>
        <x:v>29.1302</x:v>
      </x:c>
      <x:c r="K255"/>
      <x:c r="L255" t="str">
        <x:v>NOT VERIFIED</x:v>
      </x:c>
      <x:c r="M255" t="n">
        <x:f>IF(COUNTIFS('Conference pools'!$A$2:$A$25,D255,'Conference pools'!$D$2:$D$25,"&gt;=0")=0,"",SUMIF('Conference pools'!$A$2:$A$25,D255,'Conference pools'!$D$2:$D$25))</x:f>
        <x:v>0</x:v>
      </x:c>
      <x:c r="N255" t="n">
        <x:f>COUNTIF($D$2:$D$267,D255)</x:f>
        <x:v>9</x:v>
      </x:c>
      <x:c r="O255" t="n">
        <x:f>SUMIF($D$2:$D$267,D255,$J$2:$J$267)</x:f>
        <x:v>298.6623</x:v>
      </x:c>
      <x:c r="P255" t="n">
        <x:f>IF(OR(NOT(ISNUMBER(M255)),O255=0),"",M255*('Conference pools'!$H$2/N255+'Conference pools'!$H$3*J255/O255))</x:f>
        <x:v>0</x:v>
      </x:c>
      <x:c r="Q255" t="n">
        <x:f>IF(COUNTIFS($E$2:$E$267,E255,$X$2:$X$267,"&lt;&gt;")&lt;&gt;COUNTIF($E$2:$E$267,E255),"",SUMIF($E$2:$E$267,E255,$X$2:$X$267))</x:f>
        <x:v>0</x:v>
      </x:c>
      <x:c r="R255" t="n">
        <x:f>COUNTIF($E$2:$E$267,E255)</x:f>
        <x:v>12</x:v>
      </x:c>
      <x:c r="S255" t="n">
        <x:f>SUMIF($E$2:$E$267,E255,$J$2:$J$267)</x:f>
        <x:v>388.06789999999995</x:v>
      </x:c>
      <x:c r="T255" t="n">
        <x:f>IF(OR(NOT(ISNUMBER(Q255)),S255=0),"",Q255*('Conference pools'!$H$2/R255+'Conference pools'!$H$3*J255/S255))</x:f>
        <x:v>0</x:v>
      </x:c>
      <x:c r="U255" t="n">
        <x:f>IF(OR(NOT(ISNUMBER(P255)),NOT(ISNUMBER(T255))),"",T255-P255)</x:f>
        <x:v>0</x:v>
      </x:c>
      <x:c r="V255" s="8" t="str">
        <x:f>IF(OR(NOT(ISNUMBER(U255)),P255=0),"",U255/P255)</x:f>
      </x:c>
      <x:c r="W255" t="str">
        <x:f>IF(OR(NOT(ISNUMBER(T255)),NOT(ISNUMBER(K255))),"",T255-K255)</x:f>
      </x:c>
      <x:c r="X255" t="n">
        <x:f>IF(NOT(ISNUMBER(M255)),"",M255/N255)</x:f>
        <x:v>0</x:v>
      </x:c>
    </x:row>
    <x:row r="256">
      <x:c r="A256" t="str">
        <x:v>WESTERN</x:v>
      </x:c>
      <x:c r="B256" t="str">
        <x:v>Western Illinois University</x:v>
      </x:c>
      <x:c r="C256" t="str">
        <x:v>FCS</x:v>
      </x:c>
      <x:c r="D256" t="str">
        <x:v>Ohio Valley Conference</x:v>
      </x:c>
      <x:c r="E256" t="str">
        <x:v>Development Plains</x:v>
      </x:c>
      <x:c r="F256"/>
      <x:c r="G256"/>
      <x:c r="H256"/>
      <x:c r="I256"/>
      <x:c r="J256" t="n">
        <x:f>IF(ISNUMBER(I256),MAX(1,I256),1)</x:f>
        <x:v>1</x:v>
      </x:c>
      <x:c r="K256"/>
      <x:c r="L256" t="str">
        <x:v>NOT VERIFIED</x:v>
      </x:c>
      <x:c r="M256" t="n">
        <x:f>IF(COUNTIFS('Conference pools'!$A$2:$A$25,D256,'Conference pools'!$D$2:$D$25,"&gt;=0")=0,"",SUMIF('Conference pools'!$A$2:$A$25,D256,'Conference pools'!$D$2:$D$25))</x:f>
        <x:v>0</x:v>
      </x:c>
      <x:c r="N256" t="n">
        <x:f>COUNTIF($D$2:$D$267,D256)</x:f>
        <x:v>9</x:v>
      </x:c>
      <x:c r="O256" t="n">
        <x:f>SUMIF($D$2:$D$267,D256,$J$2:$J$267)</x:f>
        <x:v>298.6623</x:v>
      </x:c>
      <x:c r="P256" t="n">
        <x:f>IF(OR(NOT(ISNUMBER(M256)),O256=0),"",M256*('Conference pools'!$H$2/N256+'Conference pools'!$H$3*J256/O256))</x:f>
        <x:v>0</x:v>
      </x:c>
      <x:c r="Q256" t="n">
        <x:f>IF(COUNTIFS($E$2:$E$267,E256,$X$2:$X$267,"&lt;&gt;")&lt;&gt;COUNTIF($E$2:$E$267,E256),"",SUMIF($E$2:$E$267,E256,$X$2:$X$267))</x:f>
        <x:v>0</x:v>
      </x:c>
      <x:c r="R256" t="n">
        <x:f>COUNTIF($E$2:$E$267,E256)</x:f>
        <x:v>12</x:v>
      </x:c>
      <x:c r="S256" t="n">
        <x:f>SUMIF($E$2:$E$267,E256,$J$2:$J$267)</x:f>
        <x:v>388.06789999999995</x:v>
      </x:c>
      <x:c r="T256" t="n">
        <x:f>IF(OR(NOT(ISNUMBER(Q256)),S256=0),"",Q256*('Conference pools'!$H$2/R256+'Conference pools'!$H$3*J256/S256))</x:f>
        <x:v>0</x:v>
      </x:c>
      <x:c r="U256" t="n">
        <x:f>IF(OR(NOT(ISNUMBER(P256)),NOT(ISNUMBER(T256))),"",T256-P256)</x:f>
        <x:v>0</x:v>
      </x:c>
      <x:c r="V256" s="8" t="str">
        <x:f>IF(OR(NOT(ISNUMBER(U256)),P256=0),"",U256/P256)</x:f>
      </x:c>
      <x:c r="W256" t="str">
        <x:f>IF(OR(NOT(ISNUMBER(T256)),NOT(ISNUMBER(K256))),"",T256-K256)</x:f>
      </x:c>
      <x:c r="X256" t="n">
        <x:f>IF(NOT(ISNUMBER(M256)),"",M256/N256)</x:f>
        <x:v>0</x:v>
      </x:c>
    </x:row>
    <x:row r="257">
      <x:c r="A257" t="str">
        <x:v>TOWSON</x:v>
      </x:c>
      <x:c r="B257" t="str">
        <x:v>Towson University</x:v>
      </x:c>
      <x:c r="C257" t="str">
        <x:v>FCS</x:v>
      </x:c>
      <x:c r="D257" t="str">
        <x:v>Coastal Athletic Association</x:v>
      </x:c>
      <x:c r="E257" t="str">
        <x:v>Development Southeast</x:v>
      </x:c>
      <x:c r="F257" t="n">
        <x:v>12</x:v>
      </x:c>
      <x:c r="G257" t="n">
        <x:v>0.5186</x:v>
      </x:c>
      <x:c r="H257" t="n">
        <x:v>0.4591</x:v>
      </x:c>
      <x:c r="I257" t="n">
        <x:v>42.8049</x:v>
      </x:c>
      <x:c r="J257" t="n">
        <x:f>IF(ISNUMBER(I257),MAX(1,I257),1)</x:f>
        <x:v>42.8049</x:v>
      </x:c>
      <x:c r="K257"/>
      <x:c r="L257" t="str">
        <x:v>NOT VERIFIED</x:v>
      </x:c>
      <x:c r="M257" t="n">
        <x:f>IF(COUNTIFS('Conference pools'!$A$2:$A$25,D257,'Conference pools'!$D$2:$D$25,"&gt;=0")=0,"",SUMIF('Conference pools'!$A$2:$A$25,D257,'Conference pools'!$D$2:$D$25))</x:f>
        <x:v>0</x:v>
      </x:c>
      <x:c r="N257" t="n">
        <x:f>COUNTIF($D$2:$D$267,D257)</x:f>
        <x:v>13</x:v>
      </x:c>
      <x:c r="O257" t="n">
        <x:f>SUMIF($D$2:$D$267,D257,$J$2:$J$267)</x:f>
        <x:v>512.5445000000001</x:v>
      </x:c>
      <x:c r="P257" t="n">
        <x:f>IF(OR(NOT(ISNUMBER(M257)),O257=0),"",M257*('Conference pools'!$H$2/N257+'Conference pools'!$H$3*J257/O257))</x:f>
        <x:v>0</x:v>
      </x:c>
      <x:c r="Q257" t="n">
        <x:f>IF(COUNTIFS($E$2:$E$267,E257,$X$2:$X$267,"&lt;&gt;")&lt;&gt;COUNTIF($E$2:$E$267,E257),"",SUMIF($E$2:$E$267,E257,$X$2:$X$267))</x:f>
        <x:v>0</x:v>
      </x:c>
      <x:c r="R257" t="n">
        <x:f>COUNTIF($E$2:$E$267,E257)</x:f>
        <x:v>11</x:v>
      </x:c>
      <x:c r="S257" t="n">
        <x:f>SUMIF($E$2:$E$267,E257,$J$2:$J$267)</x:f>
        <x:v>418.05580000000003</x:v>
      </x:c>
      <x:c r="T257" t="n">
        <x:f>IF(OR(NOT(ISNUMBER(Q257)),S257=0),"",Q257*('Conference pools'!$H$2/R257+'Conference pools'!$H$3*J257/S257))</x:f>
        <x:v>0</x:v>
      </x:c>
      <x:c r="U257" t="n">
        <x:f>IF(OR(NOT(ISNUMBER(P257)),NOT(ISNUMBER(T257))),"",T257-P257)</x:f>
        <x:v>0</x:v>
      </x:c>
      <x:c r="V257" s="8" t="str">
        <x:f>IF(OR(NOT(ISNUMBER(U257)),P257=0),"",U257/P257)</x:f>
      </x:c>
      <x:c r="W257" t="str">
        <x:f>IF(OR(NOT(ISNUMBER(T257)),NOT(ISNUMBER(K257))),"",T257-K257)</x:f>
      </x:c>
      <x:c r="X257" t="n">
        <x:f>IF(NOT(ISNUMBER(M257)),"",M257/N257)</x:f>
        <x:v>0</x:v>
      </x:c>
    </x:row>
    <x:row r="258">
      <x:c r="A258" t="str">
        <x:v>BUCKNELL</x:v>
      </x:c>
      <x:c r="B258" t="str">
        <x:v>Bucknell University</x:v>
      </x:c>
      <x:c r="C258" t="str">
        <x:v>FCS</x:v>
      </x:c>
      <x:c r="D258" t="str">
        <x:v>Patriot League</x:v>
      </x:c>
      <x:c r="E258" t="str">
        <x:v>Development Southeast</x:v>
      </x:c>
      <x:c r="F258" t="n">
        <x:v>23</x:v>
      </x:c>
      <x:c r="G258" t="n">
        <x:v>0.4335</x:v>
      </x:c>
      <x:c r="H258" t="n">
        <x:v>0.419</x:v>
      </x:c>
      <x:c r="I258" t="n">
        <x:v>35.2767</x:v>
      </x:c>
      <x:c r="J258" t="n">
        <x:f>IF(ISNUMBER(I258),MAX(1,I258),1)</x:f>
        <x:v>35.2767</x:v>
      </x:c>
      <x:c r="K258"/>
      <x:c r="L258" t="str">
        <x:v>NOT VERIFIED</x:v>
      </x:c>
      <x:c r="M258" t="n">
        <x:f>IF(COUNTIFS('Conference pools'!$A$2:$A$25,D258,'Conference pools'!$D$2:$D$25,"&gt;=0")=0,"",SUMIF('Conference pools'!$A$2:$A$25,D258,'Conference pools'!$D$2:$D$25))</x:f>
        <x:v>0</x:v>
      </x:c>
      <x:c r="N258" t="n">
        <x:f>COUNTIF($D$2:$D$267,D258)</x:f>
        <x:v>10</x:v>
      </x:c>
      <x:c r="O258" t="n">
        <x:f>SUMIF($D$2:$D$267,D258,$J$2:$J$267)</x:f>
        <x:v>431.0682</x:v>
      </x:c>
      <x:c r="P258" t="n">
        <x:f>IF(OR(NOT(ISNUMBER(M258)),O258=0),"",M258*('Conference pools'!$H$2/N258+'Conference pools'!$H$3*J258/O258))</x:f>
        <x:v>0</x:v>
      </x:c>
      <x:c r="Q258" t="n">
        <x:f>IF(COUNTIFS($E$2:$E$267,E258,$X$2:$X$267,"&lt;&gt;")&lt;&gt;COUNTIF($E$2:$E$267,E258),"",SUMIF($E$2:$E$267,E258,$X$2:$X$267))</x:f>
        <x:v>0</x:v>
      </x:c>
      <x:c r="R258" t="n">
        <x:f>COUNTIF($E$2:$E$267,E258)</x:f>
        <x:v>11</x:v>
      </x:c>
      <x:c r="S258" t="n">
        <x:f>SUMIF($E$2:$E$267,E258,$J$2:$J$267)</x:f>
        <x:v>418.05580000000003</x:v>
      </x:c>
      <x:c r="T258" t="n">
        <x:f>IF(OR(NOT(ISNUMBER(Q258)),S258=0),"",Q258*('Conference pools'!$H$2/R258+'Conference pools'!$H$3*J258/S258))</x:f>
        <x:v>0</x:v>
      </x:c>
      <x:c r="U258" t="n">
        <x:f>IF(OR(NOT(ISNUMBER(P258)),NOT(ISNUMBER(T258))),"",T258-P258)</x:f>
        <x:v>0</x:v>
      </x:c>
      <x:c r="V258" s="8" t="str">
        <x:f>IF(OR(NOT(ISNUMBER(U258)),P258=0),"",U258/P258)</x:f>
      </x:c>
      <x:c r="W258" t="str">
        <x:f>IF(OR(NOT(ISNUMBER(T258)),NOT(ISNUMBER(K258))),"",T258-K258)</x:f>
      </x:c>
      <x:c r="X258" t="n">
        <x:f>IF(NOT(ISNUMBER(M258)),"",M258/N258)</x:f>
        <x:v>0</x:v>
      </x:c>
    </x:row>
    <x:row r="259">
      <x:c r="A259" t="str">
        <x:v>HAMPTON</x:v>
      </x:c>
      <x:c r="B259" t="str">
        <x:v>Hampton University</x:v>
      </x:c>
      <x:c r="C259" t="str">
        <x:v>FCS</x:v>
      </x:c>
      <x:c r="D259" t="str">
        <x:v>Coastal Athletic Association</x:v>
      </x:c>
      <x:c r="E259" t="str">
        <x:v>Development Southeast</x:v>
      </x:c>
      <x:c r="F259" t="n">
        <x:v>28</x:v>
      </x:c>
      <x:c r="G259" t="n">
        <x:v>0.3229</x:v>
      </x:c>
      <x:c r="H259" t="n">
        <x:v>0.4883</x:v>
      </x:c>
      <x:c r="I259" t="n">
        <x:v>32.4157</x:v>
      </x:c>
      <x:c r="J259" t="n">
        <x:f>IF(ISNUMBER(I259),MAX(1,I259),1)</x:f>
        <x:v>32.4157</x:v>
      </x:c>
      <x:c r="K259"/>
      <x:c r="L259" t="str">
        <x:v>NOT VERIFIED</x:v>
      </x:c>
      <x:c r="M259" t="n">
        <x:f>IF(COUNTIFS('Conference pools'!$A$2:$A$25,D259,'Conference pools'!$D$2:$D$25,"&gt;=0")=0,"",SUMIF('Conference pools'!$A$2:$A$25,D259,'Conference pools'!$D$2:$D$25))</x:f>
        <x:v>0</x:v>
      </x:c>
      <x:c r="N259" t="n">
        <x:f>COUNTIF($D$2:$D$267,D259)</x:f>
        <x:v>13</x:v>
      </x:c>
      <x:c r="O259" t="n">
        <x:f>SUMIF($D$2:$D$267,D259,$J$2:$J$267)</x:f>
        <x:v>512.5445000000001</x:v>
      </x:c>
      <x:c r="P259" t="n">
        <x:f>IF(OR(NOT(ISNUMBER(M259)),O259=0),"",M259*('Conference pools'!$H$2/N259+'Conference pools'!$H$3*J259/O259))</x:f>
        <x:v>0</x:v>
      </x:c>
      <x:c r="Q259" t="n">
        <x:f>IF(COUNTIFS($E$2:$E$267,E259,$X$2:$X$267,"&lt;&gt;")&lt;&gt;COUNTIF($E$2:$E$267,E259),"",SUMIF($E$2:$E$267,E259,$X$2:$X$267))</x:f>
        <x:v>0</x:v>
      </x:c>
      <x:c r="R259" t="n">
        <x:f>COUNTIF($E$2:$E$267,E259)</x:f>
        <x:v>11</x:v>
      </x:c>
      <x:c r="S259" t="n">
        <x:f>SUMIF($E$2:$E$267,E259,$J$2:$J$267)</x:f>
        <x:v>418.05580000000003</x:v>
      </x:c>
      <x:c r="T259" t="n">
        <x:f>IF(OR(NOT(ISNUMBER(Q259)),S259=0),"",Q259*('Conference pools'!$H$2/R259+'Conference pools'!$H$3*J259/S259))</x:f>
        <x:v>0</x:v>
      </x:c>
      <x:c r="U259" t="n">
        <x:f>IF(OR(NOT(ISNUMBER(P259)),NOT(ISNUMBER(T259))),"",T259-P259)</x:f>
        <x:v>0</x:v>
      </x:c>
      <x:c r="V259" s="8" t="str">
        <x:f>IF(OR(NOT(ISNUMBER(U259)),P259=0),"",U259/P259)</x:f>
      </x:c>
      <x:c r="W259" t="str">
        <x:f>IF(OR(NOT(ISNUMBER(T259)),NOT(ISNUMBER(K259))),"",T259-K259)</x:f>
      </x:c>
      <x:c r="X259" t="n">
        <x:f>IF(NOT(ISNUMBER(M259)),"",M259/N259)</x:f>
        <x:v>0</x:v>
      </x:c>
    </x:row>
    <x:row r="260">
      <x:c r="A260" t="str">
        <x:v>HOWARD</x:v>
      </x:c>
      <x:c r="B260" t="str">
        <x:v>Howard University</x:v>
      </x:c>
      <x:c r="C260" t="str">
        <x:v>FCS</x:v>
      </x:c>
      <x:c r="D260" t="str">
        <x:v>Mid-Eastern Athletic Conference</x:v>
      </x:c>
      <x:c r="E260" t="str">
        <x:v>Development Southeast</x:v>
      </x:c>
      <x:c r="F260" t="n">
        <x:v>23</x:v>
      </x:c>
      <x:c r="G260" t="n">
        <x:v>0.409</x:v>
      </x:c>
      <x:c r="H260" t="n">
        <x:v>0.4465</x:v>
      </x:c>
      <x:c r="I260" t="n">
        <x:v>35.5404</x:v>
      </x:c>
      <x:c r="J260" t="n">
        <x:f>IF(ISNUMBER(I260),MAX(1,I260),1)</x:f>
        <x:v>35.5404</x:v>
      </x:c>
      <x:c r="K260"/>
      <x:c r="L260" t="str">
        <x:v>NOT VERIFIED</x:v>
      </x:c>
      <x:c r="M260" t="n">
        <x:f>IF(COUNTIFS('Conference pools'!$A$2:$A$25,D260,'Conference pools'!$D$2:$D$25,"&gt;=0")=0,"",SUMIF('Conference pools'!$A$2:$A$25,D260,'Conference pools'!$D$2:$D$25))</x:f>
        <x:v>0</x:v>
      </x:c>
      <x:c r="N260" t="n">
        <x:f>COUNTIF($D$2:$D$267,D260)</x:f>
        <x:v>6</x:v>
      </x:c>
      <x:c r="O260" t="n">
        <x:f>SUMIF($D$2:$D$267,D260,$J$2:$J$267)</x:f>
        <x:v>227.7955</x:v>
      </x:c>
      <x:c r="P260" t="n">
        <x:f>IF(OR(NOT(ISNUMBER(M260)),O260=0),"",M260*('Conference pools'!$H$2/N260+'Conference pools'!$H$3*J260/O260))</x:f>
        <x:v>0</x:v>
      </x:c>
      <x:c r="Q260" t="n">
        <x:f>IF(COUNTIFS($E$2:$E$267,E260,$X$2:$X$267,"&lt;&gt;")&lt;&gt;COUNTIF($E$2:$E$267,E260),"",SUMIF($E$2:$E$267,E260,$X$2:$X$267))</x:f>
        <x:v>0</x:v>
      </x:c>
      <x:c r="R260" t="n">
        <x:f>COUNTIF($E$2:$E$267,E260)</x:f>
        <x:v>11</x:v>
      </x:c>
      <x:c r="S260" t="n">
        <x:f>SUMIF($E$2:$E$267,E260,$J$2:$J$267)</x:f>
        <x:v>418.05580000000003</x:v>
      </x:c>
      <x:c r="T260" t="n">
        <x:f>IF(OR(NOT(ISNUMBER(Q260)),S260=0),"",Q260*('Conference pools'!$H$2/R260+'Conference pools'!$H$3*J260/S260))</x:f>
        <x:v>0</x:v>
      </x:c>
      <x:c r="U260" t="n">
        <x:f>IF(OR(NOT(ISNUMBER(P260)),NOT(ISNUMBER(T260))),"",T260-P260)</x:f>
        <x:v>0</x:v>
      </x:c>
      <x:c r="V260" s="8" t="str">
        <x:f>IF(OR(NOT(ISNUMBER(U260)),P260=0),"",U260/P260)</x:f>
      </x:c>
      <x:c r="W260" t="str">
        <x:f>IF(OR(NOT(ISNUMBER(T260)),NOT(ISNUMBER(K260))),"",T260-K260)</x:f>
      </x:c>
      <x:c r="X260" t="n">
        <x:f>IF(NOT(ISNUMBER(M260)),"",M260/N260)</x:f>
        <x:v>0</x:v>
      </x:c>
    </x:row>
    <x:row r="261">
      <x:c r="A261" t="str">
        <x:v>MORGAN_STATE</x:v>
      </x:c>
      <x:c r="B261" t="str">
        <x:v>Morgan State University</x:v>
      </x:c>
      <x:c r="C261" t="str">
        <x:v>FCS</x:v>
      </x:c>
      <x:c r="D261" t="str">
        <x:v>Mid-Eastern Athletic Conference</x:v>
      </x:c>
      <x:c r="E261" t="str">
        <x:v>Development Southeast</x:v>
      </x:c>
      <x:c r="F261" t="n">
        <x:v>23</x:v>
      </x:c>
      <x:c r="G261" t="n">
        <x:v>0.408</x:v>
      </x:c>
      <x:c r="H261" t="n">
        <x:v>0.4831</x:v>
      </x:c>
      <x:c r="I261" t="n">
        <x:v>35.8194</x:v>
      </x:c>
      <x:c r="J261" t="n">
        <x:f>IF(ISNUMBER(I261),MAX(1,I261),1)</x:f>
        <x:v>35.8194</x:v>
      </x:c>
      <x:c r="K261"/>
      <x:c r="L261" t="str">
        <x:v>NOT VERIFIED</x:v>
      </x:c>
      <x:c r="M261" t="n">
        <x:f>IF(COUNTIFS('Conference pools'!$A$2:$A$25,D261,'Conference pools'!$D$2:$D$25,"&gt;=0")=0,"",SUMIF('Conference pools'!$A$2:$A$25,D261,'Conference pools'!$D$2:$D$25))</x:f>
        <x:v>0</x:v>
      </x:c>
      <x:c r="N261" t="n">
        <x:f>COUNTIF($D$2:$D$267,D261)</x:f>
        <x:v>6</x:v>
      </x:c>
      <x:c r="O261" t="n">
        <x:f>SUMIF($D$2:$D$267,D261,$J$2:$J$267)</x:f>
        <x:v>227.7955</x:v>
      </x:c>
      <x:c r="P261" t="n">
        <x:f>IF(OR(NOT(ISNUMBER(M261)),O261=0),"",M261*('Conference pools'!$H$2/N261+'Conference pools'!$H$3*J261/O261))</x:f>
        <x:v>0</x:v>
      </x:c>
      <x:c r="Q261" t="n">
        <x:f>IF(COUNTIFS($E$2:$E$267,E261,$X$2:$X$267,"&lt;&gt;")&lt;&gt;COUNTIF($E$2:$E$267,E261),"",SUMIF($E$2:$E$267,E261,$X$2:$X$267))</x:f>
        <x:v>0</x:v>
      </x:c>
      <x:c r="R261" t="n">
        <x:f>COUNTIF($E$2:$E$267,E261)</x:f>
        <x:v>11</x:v>
      </x:c>
      <x:c r="S261" t="n">
        <x:f>SUMIF($E$2:$E$267,E261,$J$2:$J$267)</x:f>
        <x:v>418.05580000000003</x:v>
      </x:c>
      <x:c r="T261" t="n">
        <x:f>IF(OR(NOT(ISNUMBER(Q261)),S261=0),"",Q261*('Conference pools'!$H$2/R261+'Conference pools'!$H$3*J261/S261))</x:f>
        <x:v>0</x:v>
      </x:c>
      <x:c r="U261" t="n">
        <x:f>IF(OR(NOT(ISNUMBER(P261)),NOT(ISNUMBER(T261))),"",T261-P261)</x:f>
        <x:v>0</x:v>
      </x:c>
      <x:c r="V261" s="8" t="str">
        <x:f>IF(OR(NOT(ISNUMBER(U261)),P261=0),"",U261/P261)</x:f>
      </x:c>
      <x:c r="W261" t="str">
        <x:f>IF(OR(NOT(ISNUMBER(T261)),NOT(ISNUMBER(K261))),"",T261-K261)</x:f>
      </x:c>
      <x:c r="X261" t="n">
        <x:f>IF(NOT(ISNUMBER(M261)),"",M261/N261)</x:f>
        <x:v>0</x:v>
      </x:c>
    </x:row>
    <x:row r="262">
      <x:c r="A262" t="str">
        <x:v>MONMOUTH</x:v>
      </x:c>
      <x:c r="B262" t="str">
        <x:v>Monmouth University</x:v>
      </x:c>
      <x:c r="C262" t="str">
        <x:v>FCS</x:v>
      </x:c>
      <x:c r="D262" t="str">
        <x:v>Coastal Athletic Association</x:v>
      </x:c>
      <x:c r="E262" t="str">
        <x:v>Development Southeast</x:v>
      </x:c>
      <x:c r="F262" t="n">
        <x:v>8</x:v>
      </x:c>
      <x:c r="G262" t="n">
        <x:v>0.5705</x:v>
      </x:c>
      <x:c r="H262" t="n">
        <x:v>0.4379</x:v>
      </x:c>
      <x:c r="I262" t="n">
        <x:v>47.1733</x:v>
      </x:c>
      <x:c r="J262" t="n">
        <x:f>IF(ISNUMBER(I262),MAX(1,I262),1)</x:f>
        <x:v>47.1733</x:v>
      </x:c>
      <x:c r="K262"/>
      <x:c r="L262" t="str">
        <x:v>NOT VERIFIED</x:v>
      </x:c>
      <x:c r="M262" t="n">
        <x:f>IF(COUNTIFS('Conference pools'!$A$2:$A$25,D262,'Conference pools'!$D$2:$D$25,"&gt;=0")=0,"",SUMIF('Conference pools'!$A$2:$A$25,D262,'Conference pools'!$D$2:$D$25))</x:f>
        <x:v>0</x:v>
      </x:c>
      <x:c r="N262" t="n">
        <x:f>COUNTIF($D$2:$D$267,D262)</x:f>
        <x:v>13</x:v>
      </x:c>
      <x:c r="O262" t="n">
        <x:f>SUMIF($D$2:$D$267,D262,$J$2:$J$267)</x:f>
        <x:v>512.5445000000001</x:v>
      </x:c>
      <x:c r="P262" t="n">
        <x:f>IF(OR(NOT(ISNUMBER(M262)),O262=0),"",M262*('Conference pools'!$H$2/N262+'Conference pools'!$H$3*J262/O262))</x:f>
        <x:v>0</x:v>
      </x:c>
      <x:c r="Q262" t="n">
        <x:f>IF(COUNTIFS($E$2:$E$267,E262,$X$2:$X$267,"&lt;&gt;")&lt;&gt;COUNTIF($E$2:$E$267,E262),"",SUMIF($E$2:$E$267,E262,$X$2:$X$267))</x:f>
        <x:v>0</x:v>
      </x:c>
      <x:c r="R262" t="n">
        <x:f>COUNTIF($E$2:$E$267,E262)</x:f>
        <x:v>11</x:v>
      </x:c>
      <x:c r="S262" t="n">
        <x:f>SUMIF($E$2:$E$267,E262,$J$2:$J$267)</x:f>
        <x:v>418.05580000000003</x:v>
      </x:c>
      <x:c r="T262" t="n">
        <x:f>IF(OR(NOT(ISNUMBER(Q262)),S262=0),"",Q262*('Conference pools'!$H$2/R262+'Conference pools'!$H$3*J262/S262))</x:f>
        <x:v>0</x:v>
      </x:c>
      <x:c r="U262" t="n">
        <x:f>IF(OR(NOT(ISNUMBER(P262)),NOT(ISNUMBER(T262))),"",T262-P262)</x:f>
        <x:v>0</x:v>
      </x:c>
      <x:c r="V262" s="8" t="str">
        <x:f>IF(OR(NOT(ISNUMBER(U262)),P262=0),"",U262/P262)</x:f>
      </x:c>
      <x:c r="W262" t="str">
        <x:f>IF(OR(NOT(ISNUMBER(T262)),NOT(ISNUMBER(K262))),"",T262-K262)</x:f>
      </x:c>
      <x:c r="X262" t="n">
        <x:f>IF(NOT(ISNUMBER(M262)),"",M262/N262)</x:f>
        <x:v>0</x:v>
      </x:c>
    </x:row>
    <x:row r="263">
      <x:c r="A263" t="str">
        <x:v>WAGNER</x:v>
      </x:c>
      <x:c r="B263" t="str">
        <x:v>Wagner College</x:v>
      </x:c>
      <x:c r="C263" t="str">
        <x:v>FCS</x:v>
      </x:c>
      <x:c r="D263" t="str">
        <x:v>Northeast Conference</x:v>
      </x:c>
      <x:c r="E263" t="str">
        <x:v>Development Southeast</x:v>
      </x:c>
      <x:c r="F263" t="n">
        <x:v>29</x:v>
      </x:c>
      <x:c r="G263" t="n">
        <x:v>0.3748</x:v>
      </x:c>
      <x:c r="H263" t="n">
        <x:v>0.4045</x:v>
      </x:c>
      <x:c r="I263" t="n">
        <x:v>31.0372</x:v>
      </x:c>
      <x:c r="J263" t="n">
        <x:f>IF(ISNUMBER(I263),MAX(1,I263),1)</x:f>
        <x:v>31.0372</x:v>
      </x:c>
      <x:c r="K263"/>
      <x:c r="L263" t="str">
        <x:v>NOT VERIFIED</x:v>
      </x:c>
      <x:c r="M263" t="n">
        <x:f>IF(COUNTIFS('Conference pools'!$A$2:$A$25,D263,'Conference pools'!$D$2:$D$25,"&gt;=0")=0,"",SUMIF('Conference pools'!$A$2:$A$25,D263,'Conference pools'!$D$2:$D$25))</x:f>
        <x:v>0</x:v>
      </x:c>
      <x:c r="N263" t="n">
        <x:f>COUNTIF($D$2:$D$267,D263)</x:f>
        <x:v>8</x:v>
      </x:c>
      <x:c r="O263" t="n">
        <x:f>SUMIF($D$2:$D$267,D263,$J$2:$J$267)</x:f>
        <x:v>291.4439</x:v>
      </x:c>
      <x:c r="P263" t="n">
        <x:f>IF(OR(NOT(ISNUMBER(M263)),O263=0),"",M263*('Conference pools'!$H$2/N263+'Conference pools'!$H$3*J263/O263))</x:f>
        <x:v>0</x:v>
      </x:c>
      <x:c r="Q263" t="n">
        <x:f>IF(COUNTIFS($E$2:$E$267,E263,$X$2:$X$267,"&lt;&gt;")&lt;&gt;COUNTIF($E$2:$E$267,E263),"",SUMIF($E$2:$E$267,E263,$X$2:$X$267))</x:f>
        <x:v>0</x:v>
      </x:c>
      <x:c r="R263" t="n">
        <x:f>COUNTIF($E$2:$E$267,E263)</x:f>
        <x:v>11</x:v>
      </x:c>
      <x:c r="S263" t="n">
        <x:f>SUMIF($E$2:$E$267,E263,$J$2:$J$267)</x:f>
        <x:v>418.05580000000003</x:v>
      </x:c>
      <x:c r="T263" t="n">
        <x:f>IF(OR(NOT(ISNUMBER(Q263)),S263=0),"",Q263*('Conference pools'!$H$2/R263+'Conference pools'!$H$3*J263/S263))</x:f>
        <x:v>0</x:v>
      </x:c>
      <x:c r="U263" t="n">
        <x:f>IF(OR(NOT(ISNUMBER(P263)),NOT(ISNUMBER(T263))),"",T263-P263)</x:f>
        <x:v>0</x:v>
      </x:c>
      <x:c r="V263" s="8" t="str">
        <x:f>IF(OR(NOT(ISNUMBER(U263)),P263=0),"",U263/P263)</x:f>
      </x:c>
      <x:c r="W263" t="str">
        <x:f>IF(OR(NOT(ISNUMBER(T263)),NOT(ISNUMBER(K263))),"",T263-K263)</x:f>
      </x:c>
      <x:c r="X263" t="n">
        <x:f>IF(NOT(ISNUMBER(M263)),"",M263/N263)</x:f>
        <x:v>0</x:v>
      </x:c>
    </x:row>
    <x:row r="264">
      <x:c r="A264" t="str">
        <x:v>CORNELL</x:v>
      </x:c>
      <x:c r="B264" t="str">
        <x:v>Cornell University</x:v>
      </x:c>
      <x:c r="C264" t="str">
        <x:v>FCS</x:v>
      </x:c>
      <x:c r="D264" t="str">
        <x:v>Ivy League</x:v>
      </x:c>
      <x:c r="E264" t="str">
        <x:v>Development Southeast</x:v>
      </x:c>
      <x:c r="F264" t="n">
        <x:v>23</x:v>
      </x:c>
      <x:c r="G264" t="n">
        <x:v>0.3747</x:v>
      </x:c>
      <x:c r="H264" t="n">
        <x:v>0.497</x:v>
      </x:c>
      <x:c r="I264" t="n">
        <x:v>35.5393</x:v>
      </x:c>
      <x:c r="J264" t="n">
        <x:f>IF(ISNUMBER(I264),MAX(1,I264),1)</x:f>
        <x:v>35.5393</x:v>
      </x:c>
      <x:c r="K264"/>
      <x:c r="L264" t="str">
        <x:v>NOT VERIFIED</x:v>
      </x:c>
      <x:c r="M264" t="n">
        <x:f>IF(COUNTIFS('Conference pools'!$A$2:$A$25,D264,'Conference pools'!$D$2:$D$25,"&gt;=0")=0,"",SUMIF('Conference pools'!$A$2:$A$25,D264,'Conference pools'!$D$2:$D$25))</x:f>
        <x:v>0</x:v>
      </x:c>
      <x:c r="N264" t="n">
        <x:f>COUNTIF($D$2:$D$267,D264)</x:f>
        <x:v>8</x:v>
      </x:c>
      <x:c r="O264" t="n">
        <x:f>SUMIF($D$2:$D$267,D264,$J$2:$J$267)</x:f>
        <x:v>364.86990000000003</x:v>
      </x:c>
      <x:c r="P264" t="n">
        <x:f>IF(OR(NOT(ISNUMBER(M264)),O264=0),"",M264*('Conference pools'!$H$2/N264+'Conference pools'!$H$3*J264/O264))</x:f>
        <x:v>0</x:v>
      </x:c>
      <x:c r="Q264" t="n">
        <x:f>IF(COUNTIFS($E$2:$E$267,E264,$X$2:$X$267,"&lt;&gt;")&lt;&gt;COUNTIF($E$2:$E$267,E264),"",SUMIF($E$2:$E$267,E264,$X$2:$X$267))</x:f>
        <x:v>0</x:v>
      </x:c>
      <x:c r="R264" t="n">
        <x:f>COUNTIF($E$2:$E$267,E264)</x:f>
        <x:v>11</x:v>
      </x:c>
      <x:c r="S264" t="n">
        <x:f>SUMIF($E$2:$E$267,E264,$J$2:$J$267)</x:f>
        <x:v>418.05580000000003</x:v>
      </x:c>
      <x:c r="T264" t="n">
        <x:f>IF(OR(NOT(ISNUMBER(Q264)),S264=0),"",Q264*('Conference pools'!$H$2/R264+'Conference pools'!$H$3*J264/S264))</x:f>
        <x:v>0</x:v>
      </x:c>
      <x:c r="U264" t="n">
        <x:f>IF(OR(NOT(ISNUMBER(P264)),NOT(ISNUMBER(T264))),"",T264-P264)</x:f>
        <x:v>0</x:v>
      </x:c>
      <x:c r="V264" s="8" t="str">
        <x:f>IF(OR(NOT(ISNUMBER(U264)),P264=0),"",U264/P264)</x:f>
      </x:c>
      <x:c r="W264" t="str">
        <x:f>IF(OR(NOT(ISNUMBER(T264)),NOT(ISNUMBER(K264))),"",T264-K264)</x:f>
      </x:c>
      <x:c r="X264" t="n">
        <x:f>IF(NOT(ISNUMBER(M264)),"",M264/N264)</x:f>
        <x:v>0</x:v>
      </x:c>
    </x:row>
    <x:row r="265">
      <x:c r="A265" t="str">
        <x:v>LEHIGH</x:v>
      </x:c>
      <x:c r="B265" t="str">
        <x:v>Lehigh University</x:v>
      </x:c>
      <x:c r="C265" t="str">
        <x:v>FCS</x:v>
      </x:c>
      <x:c r="D265" t="str">
        <x:v>Patriot League</x:v>
      </x:c>
      <x:c r="E265" t="str">
        <x:v>Development Southeast</x:v>
      </x:c>
      <x:c r="F265" t="n">
        <x:v>8</x:v>
      </x:c>
      <x:c r="G265" t="n">
        <x:v>0.6753</x:v>
      </x:c>
      <x:c r="H265" t="n">
        <x:v>0.5006</x:v>
      </x:c>
      <x:c r="I265" t="n">
        <x:v>47.9798</x:v>
      </x:c>
      <x:c r="J265" t="n">
        <x:f>IF(ISNUMBER(I265),MAX(1,I265),1)</x:f>
        <x:v>47.9798</x:v>
      </x:c>
      <x:c r="K265"/>
      <x:c r="L265" t="str">
        <x:v>NOT VERIFIED</x:v>
      </x:c>
      <x:c r="M265" t="n">
        <x:f>IF(COUNTIFS('Conference pools'!$A$2:$A$25,D265,'Conference pools'!$D$2:$D$25,"&gt;=0")=0,"",SUMIF('Conference pools'!$A$2:$A$25,D265,'Conference pools'!$D$2:$D$25))</x:f>
        <x:v>0</x:v>
      </x:c>
      <x:c r="N265" t="n">
        <x:f>COUNTIF($D$2:$D$267,D265)</x:f>
        <x:v>10</x:v>
      </x:c>
      <x:c r="O265" t="n">
        <x:f>SUMIF($D$2:$D$267,D265,$J$2:$J$267)</x:f>
        <x:v>431.0682</x:v>
      </x:c>
      <x:c r="P265" t="n">
        <x:f>IF(OR(NOT(ISNUMBER(M265)),O265=0),"",M265*('Conference pools'!$H$2/N265+'Conference pools'!$H$3*J265/O265))</x:f>
        <x:v>0</x:v>
      </x:c>
      <x:c r="Q265" t="n">
        <x:f>IF(COUNTIFS($E$2:$E$267,E265,$X$2:$X$267,"&lt;&gt;")&lt;&gt;COUNTIF($E$2:$E$267,E265),"",SUMIF($E$2:$E$267,E265,$X$2:$X$267))</x:f>
        <x:v>0</x:v>
      </x:c>
      <x:c r="R265" t="n">
        <x:f>COUNTIF($E$2:$E$267,E265)</x:f>
        <x:v>11</x:v>
      </x:c>
      <x:c r="S265" t="n">
        <x:f>SUMIF($E$2:$E$267,E265,$J$2:$J$267)</x:f>
        <x:v>418.05580000000003</x:v>
      </x:c>
      <x:c r="T265" t="n">
        <x:f>IF(OR(NOT(ISNUMBER(Q265)),S265=0),"",Q265*('Conference pools'!$H$2/R265+'Conference pools'!$H$3*J265/S265))</x:f>
        <x:v>0</x:v>
      </x:c>
      <x:c r="U265" t="n">
        <x:f>IF(OR(NOT(ISNUMBER(P265)),NOT(ISNUMBER(T265))),"",T265-P265)</x:f>
        <x:v>0</x:v>
      </x:c>
      <x:c r="V265" s="8" t="str">
        <x:f>IF(OR(NOT(ISNUMBER(U265)),P265=0),"",U265/P265)</x:f>
      </x:c>
      <x:c r="W265" t="str">
        <x:f>IF(OR(NOT(ISNUMBER(T265)),NOT(ISNUMBER(K265))),"",T265-K265)</x:f>
      </x:c>
      <x:c r="X265" t="n">
        <x:f>IF(NOT(ISNUMBER(M265)),"",M265/N265)</x:f>
        <x:v>0</x:v>
      </x:c>
    </x:row>
    <x:row r="266">
      <x:c r="A266" t="str">
        <x:v>DELAWARE_STATE</x:v>
      </x:c>
      <x:c r="B266" t="str">
        <x:v>Delaware State University</x:v>
      </x:c>
      <x:c r="C266" t="str">
        <x:v>FCS</x:v>
      </x:c>
      <x:c r="D266" t="str">
        <x:v>Mid-Eastern Athletic Conference</x:v>
      </x:c>
      <x:c r="E266" t="str">
        <x:v>Development Southeast</x:v>
      </x:c>
      <x:c r="F266" t="n">
        <x:v>30</x:v>
      </x:c>
      <x:c r="G266" t="n">
        <x:v>0.3249</x:v>
      </x:c>
      <x:c r="H266" t="n">
        <x:v>0.4708</x:v>
      </x:c>
      <x:c r="I266" t="n">
        <x:v>29.2327</x:v>
      </x:c>
      <x:c r="J266" t="n">
        <x:f>IF(ISNUMBER(I266),MAX(1,I266),1)</x:f>
        <x:v>29.2327</x:v>
      </x:c>
      <x:c r="K266"/>
      <x:c r="L266" t="str">
        <x:v>NOT VERIFIED</x:v>
      </x:c>
      <x:c r="M266" t="n">
        <x:f>IF(COUNTIFS('Conference pools'!$A$2:$A$25,D266,'Conference pools'!$D$2:$D$25,"&gt;=0")=0,"",SUMIF('Conference pools'!$A$2:$A$25,D266,'Conference pools'!$D$2:$D$25))</x:f>
        <x:v>0</x:v>
      </x:c>
      <x:c r="N266" t="n">
        <x:f>COUNTIF($D$2:$D$267,D266)</x:f>
        <x:v>6</x:v>
      </x:c>
      <x:c r="O266" t="n">
        <x:f>SUMIF($D$2:$D$267,D266,$J$2:$J$267)</x:f>
        <x:v>227.7955</x:v>
      </x:c>
      <x:c r="P266" t="n">
        <x:f>IF(OR(NOT(ISNUMBER(M266)),O266=0),"",M266*('Conference pools'!$H$2/N266+'Conference pools'!$H$3*J266/O266))</x:f>
        <x:v>0</x:v>
      </x:c>
      <x:c r="Q266" t="n">
        <x:f>IF(COUNTIFS($E$2:$E$267,E266,$X$2:$X$267,"&lt;&gt;")&lt;&gt;COUNTIF($E$2:$E$267,E266),"",SUMIF($E$2:$E$267,E266,$X$2:$X$267))</x:f>
        <x:v>0</x:v>
      </x:c>
      <x:c r="R266" t="n">
        <x:f>COUNTIF($E$2:$E$267,E266)</x:f>
        <x:v>11</x:v>
      </x:c>
      <x:c r="S266" t="n">
        <x:f>SUMIF($E$2:$E$267,E266,$J$2:$J$267)</x:f>
        <x:v>418.05580000000003</x:v>
      </x:c>
      <x:c r="T266" t="n">
        <x:f>IF(OR(NOT(ISNUMBER(Q266)),S266=0),"",Q266*('Conference pools'!$H$2/R266+'Conference pools'!$H$3*J266/S266))</x:f>
        <x:v>0</x:v>
      </x:c>
      <x:c r="U266" t="n">
        <x:f>IF(OR(NOT(ISNUMBER(P266)),NOT(ISNUMBER(T266))),"",T266-P266)</x:f>
        <x:v>0</x:v>
      </x:c>
      <x:c r="V266" s="8" t="str">
        <x:f>IF(OR(NOT(ISNUMBER(U266)),P266=0),"",U266/P266)</x:f>
      </x:c>
      <x:c r="W266" t="str">
        <x:f>IF(OR(NOT(ISNUMBER(T266)),NOT(ISNUMBER(K266))),"",T266-K266)</x:f>
      </x:c>
      <x:c r="X266" t="n">
        <x:f>IF(NOT(ISNUMBER(M266)),"",M266/N266)</x:f>
        <x:v>0</x:v>
      </x:c>
    </x:row>
    <x:row r="267">
      <x:c r="A267" t="str">
        <x:v>PENN</x:v>
      </x:c>
      <x:c r="B267" t="str">
        <x:v>University of Pennsylvania</x:v>
      </x:c>
      <x:c r="C267" t="str">
        <x:v>FCS</x:v>
      </x:c>
      <x:c r="D267" t="str">
        <x:v>Ivy League</x:v>
      </x:c>
      <x:c r="E267" t="str">
        <x:v>Development Southeast</x:v>
      </x:c>
      <x:c r="F267" t="n">
        <x:v>10</x:v>
      </x:c>
      <x:c r="G267" t="n">
        <x:v>0.531</x:v>
      </x:c>
      <x:c r="H267" t="n">
        <x:v>0.5321</x:v>
      </x:c>
      <x:c r="I267" t="n">
        <x:v>45.2364</x:v>
      </x:c>
      <x:c r="J267" t="n">
        <x:f>IF(ISNUMBER(I267),MAX(1,I267),1)</x:f>
        <x:v>45.2364</x:v>
      </x:c>
      <x:c r="K267"/>
      <x:c r="L267" t="str">
        <x:v>NOT VERIFIED</x:v>
      </x:c>
      <x:c r="M267" t="n">
        <x:f>IF(COUNTIFS('Conference pools'!$A$2:$A$25,D267,'Conference pools'!$D$2:$D$25,"&gt;=0")=0,"",SUMIF('Conference pools'!$A$2:$A$25,D267,'Conference pools'!$D$2:$D$25))</x:f>
        <x:v>0</x:v>
      </x:c>
      <x:c r="N267" t="n">
        <x:f>COUNTIF($D$2:$D$267,D267)</x:f>
        <x:v>8</x:v>
      </x:c>
      <x:c r="O267" t="n">
        <x:f>SUMIF($D$2:$D$267,D267,$J$2:$J$267)</x:f>
        <x:v>364.86990000000003</x:v>
      </x:c>
      <x:c r="P267" t="n">
        <x:f>IF(OR(NOT(ISNUMBER(M267)),O267=0),"",M267*('Conference pools'!$H$2/N267+'Conference pools'!$H$3*J267/O267))</x:f>
        <x:v>0</x:v>
      </x:c>
      <x:c r="Q267" t="n">
        <x:f>IF(COUNTIFS($E$2:$E$267,E267,$X$2:$X$267,"&lt;&gt;")&lt;&gt;COUNTIF($E$2:$E$267,E267),"",SUMIF($E$2:$E$267,E267,$X$2:$X$267))</x:f>
        <x:v>0</x:v>
      </x:c>
      <x:c r="R267" t="n">
        <x:f>COUNTIF($E$2:$E$267,E267)</x:f>
        <x:v>11</x:v>
      </x:c>
      <x:c r="S267" t="n">
        <x:f>SUMIF($E$2:$E$267,E267,$J$2:$J$267)</x:f>
        <x:v>418.05580000000003</x:v>
      </x:c>
      <x:c r="T267" t="n">
        <x:f>IF(OR(NOT(ISNUMBER(Q267)),S267=0),"",Q267*('Conference pools'!$H$2/R267+'Conference pools'!$H$3*J267/S267))</x:f>
        <x:v>0</x:v>
      </x:c>
      <x:c r="U267" t="n">
        <x:f>IF(OR(NOT(ISNUMBER(P267)),NOT(ISNUMBER(T267))),"",T267-P267)</x:f>
        <x:v>0</x:v>
      </x:c>
      <x:c r="V267" s="8" t="str">
        <x:f>IF(OR(NOT(ISNUMBER(U267)),P267=0),"",U267/P267)</x:f>
      </x:c>
      <x:c r="W267" t="str">
        <x:f>IF(OR(NOT(ISNUMBER(T267)),NOT(ISNUMBER(K267))),"",T267-K267)</x:f>
      </x:c>
      <x:c r="X267" t="n">
        <x:f>IF(NOT(ISNUMBER(M267)),"",M267/N267)</x:f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55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2" customHeight="1">
      <x:c r="A1" s="4" t="str">
        <x:v>2026 conference</x:v>
      </x:c>
      <x:c r="B1" s="4" t="str">
        <x:v>Reported annual media rights proxy ($M)</x:v>
      </x:c>
      <x:c r="C1" s="4" t="str">
        <x:v>Verified FY2025 distributable pool ($M)</x:v>
      </x:c>
      <x:c r="D1" s="4" t="str">
        <x:v>Model pool used ($M)</x:v>
      </x:c>
      <x:c r="E1" s="4" t="str">
        <x:v>Evidence/status</x:v>
      </x:c>
      <x:c r="F1" s="4"/>
      <x:c r="G1" s="4" t="str">
        <x:v>Parameters</x:v>
      </x:c>
      <x:c r="H1" s="4" t="str">
        <x:v>Value</x:v>
      </x:c>
    </x:row>
    <x:row r="2">
      <x:c r="A2" t="str">
        <x:v>American Athletic</x:v>
      </x:c>
      <x:c r="B2"/>
      <x:c r="C2"/>
      <x:c r="D2"/>
      <x:c r="E2" t="str">
        <x:v>No verified financial pool; enter audited value</x:v>
      </x:c>
      <x:c r="G2" t="str">
        <x:v>Guaranteed share</x:v>
      </x:c>
      <x:c r="H2" t="n">
        <x:v>0.5</x:v>
      </x:c>
    </x:row>
    <x:row r="3">
      <x:c r="A3" t="str">
        <x:v>Atlantic Coast Conference</x:v>
      </x:c>
      <x:c r="B3" t="n">
        <x:v>240</x:v>
      </x:c>
      <x:c r="C3"/>
      <x:c r="D3"/>
      <x:c r="E3" t="str">
        <x:v>Reported contract proxy; not FY2025 school payouts</x:v>
      </x:c>
      <x:c r="G3" t="str">
        <x:v>Performance share</x:v>
      </x:c>
      <x:c r="H3" t="n">
        <x:v>0.5</x:v>
      </x:c>
    </x:row>
    <x:row r="4">
      <x:c r="A4" t="str">
        <x:v>Big 12</x:v>
      </x:c>
      <x:c r="B4" t="n">
        <x:v>380</x:v>
      </x:c>
      <x:c r="C4"/>
      <x:c r="D4"/>
      <x:c r="E4" t="str">
        <x:v>Reported contract proxy; not FY2025 school payouts</x:v>
      </x:c>
      <x:c r="G4" t="str">
        <x:v>24-team CFP incremental pool ($M)</x:v>
      </x:c>
      <x:c r="H4"/>
    </x:row>
    <x:row r="5">
      <x:c r="A5" t="str">
        <x:v>Big Sky Conference</x:v>
      </x:c>
      <x:c r="B5"/>
      <x:c r="C5"/>
      <x:c r="D5"/>
      <x:c r="E5" t="str">
        <x:v>No verified financial pool; enter audited value</x:v>
      </x:c>
      <x:c r="G5" t="str">
        <x:v>Status</x:v>
      </x:c>
      <x:c r="H5" t="str">
        <x:v>Unconfirmed; not included</x:v>
      </x:c>
    </x:row>
    <x:row r="6">
      <x:c r="A6" t="str">
        <x:v>Big Ten</x:v>
      </x:c>
      <x:c r="B6" t="n">
        <x:v>1150</x:v>
      </x:c>
      <x:c r="C6"/>
      <x:c r="D6"/>
      <x:c r="E6" t="str">
        <x:v>Reported contract proxy; not FY2025 school payouts</x:v>
      </x:c>
    </x:row>
    <x:row r="7">
      <x:c r="A7" t="str">
        <x:v>Coastal Athletic Association</x:v>
      </x:c>
      <x:c r="B7"/>
      <x:c r="C7"/>
      <x:c r="D7"/>
      <x:c r="E7" t="str">
        <x:v>No verified financial pool; enter audited value</x:v>
      </x:c>
    </x:row>
    <x:row r="8">
      <x:c r="A8" t="str">
        <x:v>Conference USA</x:v>
      </x:c>
      <x:c r="B8"/>
      <x:c r="C8"/>
      <x:c r="D8"/>
      <x:c r="E8" t="str">
        <x:v>No verified financial pool; enter audited value</x:v>
      </x:c>
    </x:row>
    <x:row r="9">
      <x:c r="A9" t="str">
        <x:v>Independent</x:v>
      </x:c>
      <x:c r="B9"/>
      <x:c r="C9"/>
      <x:c r="D9"/>
      <x:c r="E9" t="str">
        <x:v>No verified financial pool; enter audited value</x:v>
      </x:c>
    </x:row>
    <x:row r="10">
      <x:c r="A10" t="str">
        <x:v>Ivy League</x:v>
      </x:c>
      <x:c r="B10"/>
      <x:c r="C10"/>
      <x:c r="D10"/>
      <x:c r="E10" t="str">
        <x:v>No verified financial pool; enter audited value</x:v>
      </x:c>
    </x:row>
    <x:row r="11">
      <x:c r="A11" t="str">
        <x:v>Mid-American</x:v>
      </x:c>
      <x:c r="B11"/>
      <x:c r="C11"/>
      <x:c r="D11"/>
      <x:c r="E11" t="str">
        <x:v>No verified financial pool; enter audited value</x:v>
      </x:c>
    </x:row>
    <x:row r="12">
      <x:c r="A12" t="str">
        <x:v>Mid-Eastern Athletic Conference</x:v>
      </x:c>
      <x:c r="B12"/>
      <x:c r="C12"/>
      <x:c r="D12"/>
      <x:c r="E12" t="str">
        <x:v>No verified financial pool; enter audited value</x:v>
      </x:c>
    </x:row>
    <x:row r="13">
      <x:c r="A13" t="str">
        <x:v>Missouri Valley Football Conference</x:v>
      </x:c>
      <x:c r="B13"/>
      <x:c r="C13"/>
      <x:c r="D13"/>
      <x:c r="E13" t="str">
        <x:v>No verified financial pool; enter audited value</x:v>
      </x:c>
    </x:row>
    <x:row r="14">
      <x:c r="A14" t="str">
        <x:v>Mountain West</x:v>
      </x:c>
      <x:c r="B14"/>
      <x:c r="C14"/>
      <x:c r="D14"/>
      <x:c r="E14" t="str">
        <x:v>No verified financial pool; enter audited value</x:v>
      </x:c>
    </x:row>
    <x:row r="15">
      <x:c r="A15" t="str">
        <x:v>Northeast Conference</x:v>
      </x:c>
      <x:c r="B15"/>
      <x:c r="C15"/>
      <x:c r="D15"/>
      <x:c r="E15" t="str">
        <x:v>No verified financial pool; enter audited value</x:v>
      </x:c>
    </x:row>
    <x:row r="16">
      <x:c r="A16" t="str">
        <x:v>Ohio Valley Conference</x:v>
      </x:c>
      <x:c r="B16"/>
      <x:c r="C16"/>
      <x:c r="D16"/>
      <x:c r="E16" t="str">
        <x:v>No verified financial pool; enter audited value</x:v>
      </x:c>
    </x:row>
    <x:row r="17">
      <x:c r="A17" t="str">
        <x:v>Pac-12</x:v>
      </x:c>
      <x:c r="B17"/>
      <x:c r="C17"/>
      <x:c r="D17"/>
      <x:c r="E17" t="str">
        <x:v>No verified financial pool; enter audited value</x:v>
      </x:c>
    </x:row>
    <x:row r="18">
      <x:c r="A18" t="str">
        <x:v>Patriot League</x:v>
      </x:c>
      <x:c r="B18"/>
      <x:c r="C18"/>
      <x:c r="D18"/>
      <x:c r="E18" t="str">
        <x:v>No verified financial pool; enter audited value</x:v>
      </x:c>
    </x:row>
    <x:row r="19">
      <x:c r="A19" t="str">
        <x:v>Pioneer Football League</x:v>
      </x:c>
      <x:c r="B19"/>
      <x:c r="C19"/>
      <x:c r="D19"/>
      <x:c r="E19" t="str">
        <x:v>No verified financial pool; enter audited value</x:v>
      </x:c>
    </x:row>
    <x:row r="20">
      <x:c r="A20" t="str">
        <x:v>Southeastern Conference</x:v>
      </x:c>
      <x:c r="B20" t="n">
        <x:v>710</x:v>
      </x:c>
      <x:c r="C20"/>
      <x:c r="D20"/>
      <x:c r="E20" t="str">
        <x:v>Reported contract proxy; not FY2025 school payouts</x:v>
      </x:c>
    </x:row>
    <x:row r="21">
      <x:c r="A21" t="str">
        <x:v>Southern Conference</x:v>
      </x:c>
      <x:c r="B21"/>
      <x:c r="C21"/>
      <x:c r="D21"/>
      <x:c r="E21" t="str">
        <x:v>No verified financial pool; enter audited value</x:v>
      </x:c>
    </x:row>
    <x:row r="22">
      <x:c r="A22" t="str">
        <x:v>Southland Conference</x:v>
      </x:c>
      <x:c r="B22"/>
      <x:c r="C22"/>
      <x:c r="D22"/>
      <x:c r="E22" t="str">
        <x:v>No verified financial pool; enter audited value</x:v>
      </x:c>
    </x:row>
    <x:row r="23">
      <x:c r="A23" t="str">
        <x:v>Southwestern Athletic Conference</x:v>
      </x:c>
      <x:c r="B23"/>
      <x:c r="C23"/>
      <x:c r="D23"/>
      <x:c r="E23" t="str">
        <x:v>No verified financial pool; enter audited value</x:v>
      </x:c>
    </x:row>
    <x:row r="24">
      <x:c r="A24" t="str">
        <x:v>Sun Belt</x:v>
      </x:c>
      <x:c r="B24"/>
      <x:c r="C24"/>
      <x:c r="D24"/>
      <x:c r="E24" t="str">
        <x:v>No verified financial pool; enter audited value</x:v>
      </x:c>
    </x:row>
    <x:row r="25">
      <x:c r="A25" t="str">
        <x:v>United Athletic Conference</x:v>
      </x:c>
      <x:c r="B25"/>
      <x:c r="C25"/>
      <x:c r="D25"/>
      <x:c r="E25" t="str">
        <x:v>No verified financial pool; enter audited value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 ht="30" customHeight="1">
      <x:c r="A1" s="3" t="str">
        <x:v>FINANCIAL COMPARISON — RESEARCH WORKBOOK</x:v>
      </x:c>
    </x:row>
    <x:row r="2">
      <x:c r="A2" t="str">
        <x:v>Source: user-uploaded NCAA_v09_Provisional_Recalibration(1).csv (899 programs).</x:v>
      </x:c>
    </x:row>
    <x:row r="3">
      <x:c r="A3" t="str">
        <x:v>Source: user-uploaded NCAA_Proposed_Conference_Alignment_2026(1).csv (266 programs).</x:v>
      </x:c>
    </x:row>
    <x:row r="4">
      <x:c r="A4" t="str">
        <x:v>Scope: 266 schools in proposed 2026 alignment, NOT the full 899-school v09 tier system.</x:v>
      </x:c>
    </x:row>
    <x:row r="5">
      <x:c r="A5" t="str">
        <x:v>FY2025 actual school media+CFP earnings were NOT provided or verified. Column K deliberately blank.</x:v>
      </x:c>
    </x:row>
    <x:row r="6">
      <x:c r="A6" t="str">
        <x:v>Reported Big Ten/SEC/Big 12/ACC contract averages are entered as contextual proxies in Conference pools column B.</x:v>
      </x:c>
    </x:row>
    <x:row r="7">
      <x:c r="A7" t="str">
        <x:v>Do not treat column B as FY2025 institutional distributions; enter audited pool values in column D.</x:v>
      </x:c>
    </x:row>
    <x:row r="8">
      <x:c r="A8" t="str">
        <x:v>Column D remains blank by default to prevent invented earnings.</x:v>
      </x:c>
    </x:row>
    <x:row r="9">
      <x:c r="A9" t="str">
        <x:v>The proposed pool is funded by transferring each school’s equal member share of its existing conference pool.</x:v>
      </x:c>
    </x:row>
    <x:row r="10">
      <x:c r="A10" t="str">
        <x:v>This is a fixed-national-pool redistribution test, not a forecast of newly negotiated television contracts.</x:v>
      </x:c>
    </x:row>
    <x:row r="11">
      <x:c r="A11" t="str">
        <x:v>Performance points = max(1, provisional v09 rating). Formula 50% guaranteed + 50% performance.</x:v>
      </x:c>
    </x:row>
    <x:row r="12">
      <x:c r="A12" t="str">
        <x:v>Rating is provisional, not a validated monetary valuation.</x:v>
      </x:c>
    </x:row>
    <x:row r="13">
      <x:c r="A13" t="str">
        <x:v>2025 actual earnings need school-level sourced payouts, with CFP double-counting removed.</x:v>
      </x:c>
    </x:row>
    <x:row r="14">
      <x:c r="A14" t="str">
        <x:v>24-team CFP scenario is unconfirmed; additional rights and distributions must be verified.</x:v>
      </x:c>
    </x:row>
    <x:row r="15">
      <x:c r="A15" t="str">
        <x:v>Blank model payout = insufficient verified input, not $0.</x:v>
      </x:c>
    </x:row>
    <x:row r="16">
      <x:c r="A16" t="str">
        <x:v>Model does not yet cover the 899-program integrated v09 alignment or verified school-specific 2025 payments.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2" customHeight="1">
      <x:c r="A1" s="4" t="str">
        <x:v>Proposed conference</x:v>
      </x:c>
      <x:c r="B1" s="4" t="str">
        <x:v>Schools</x:v>
      </x:c>
      <x:c r="C1" s="4" t="str">
        <x:v>Current allocation sum ($M)</x:v>
      </x:c>
      <x:c r="D1" s="4" t="str">
        <x:v>Proposed pool ($M)</x:v>
      </x:c>
      <x:c r="E1" s="4" t="str">
        <x:v>Proposed paid ($M)</x:v>
      </x:c>
      <x:c r="F1" s="4" t="str">
        <x:v>Change vs current ($M)</x:v>
      </x:c>
      <x:c r="G1" s="4" t="str">
        <x:v>Funding completeness</x:v>
      </x:c>
    </x:row>
    <x:row r="2">
      <x:c r="A2" t="str">
        <x:v>Championship Midwest</x:v>
      </x:c>
      <x:c r="B2" t="n">
        <x:f>COUNTIF('School comparison'!$E$2:$E$267,A2)</x:f>
        <x:v>12</x:v>
      </x:c>
      <x:c r="C2" t="n">
        <x:f>SUMIF('School comparison'!$E$2:$E$267,A2,'School comparison'!$P$2:$P$267)</x:f>
        <x:v>0</x:v>
      </x:c>
      <x:c r="D2" t="n">
        <x:f>SUMIF('School comparison'!$E$2:$E$267,A2,'School comparison'!$X$2:$X$267)</x:f>
        <x:v>0</x:v>
      </x:c>
      <x:c r="E2" t="n">
        <x:f>SUMIF('School comparison'!$E$2:$E$267,A2,'School comparison'!$T$2:$T$267)</x:f>
        <x:v>0</x:v>
      </x:c>
      <x:c r="F2" t="n">
        <x:f>E2-C2</x:f>
        <x:v>0</x:v>
      </x:c>
      <x:c r="G2" t="str">
        <x:f>IF(COUNTIFS('School comparison'!$E$2:$E$267,A2,'School comparison'!$M$2:$M$267,"&lt;&gt;" )=B2,"COMPLETE","INCOMPLETE")</x:f>
        <x:v>COMPLETE</x:v>
      </x:c>
    </x:row>
    <x:row r="3">
      <x:c r="A3" t="str">
        <x:v>Championship Northeast</x:v>
      </x:c>
      <x:c r="B3" t="n">
        <x:f>COUNTIF('School comparison'!$E$2:$E$267,A3)</x:f>
        <x:v>12</x:v>
      </x:c>
      <x:c r="C3" t="n">
        <x:f>SUMIF('School comparison'!$E$2:$E$267,A3,'School comparison'!$P$2:$P$267)</x:f>
        <x:v>0</x:v>
      </x:c>
      <x:c r="D3" t="n">
        <x:f>SUMIF('School comparison'!$E$2:$E$267,A3,'School comparison'!$X$2:$X$267)</x:f>
        <x:v>0</x:v>
      </x:c>
      <x:c r="E3" t="n">
        <x:f>SUMIF('School comparison'!$E$2:$E$267,A3,'School comparison'!$T$2:$T$267)</x:f>
        <x:v>0</x:v>
      </x:c>
      <x:c r="F3" t="n">
        <x:f>E3-C3</x:f>
        <x:v>0</x:v>
      </x:c>
      <x:c r="G3" t="str">
        <x:f>IF(COUNTIFS('School comparison'!$E$2:$E$267,A3,'School comparison'!$M$2:$M$267,"&lt;&gt;" )=B3,"COMPLETE","INCOMPLETE")</x:f>
        <x:v>COMPLETE</x:v>
      </x:c>
    </x:row>
    <x:row r="4">
      <x:c r="A4" t="str">
        <x:v>Championship Plains</x:v>
      </x:c>
      <x:c r="B4" t="n">
        <x:f>COUNTIF('School comparison'!$E$2:$E$267,A4)</x:f>
        <x:v>12</x:v>
      </x:c>
      <x:c r="C4" t="n">
        <x:f>SUMIF('School comparison'!$E$2:$E$267,A4,'School comparison'!$P$2:$P$267)</x:f>
        <x:v>0</x:v>
      </x:c>
      <x:c r="D4" t="n">
        <x:f>SUMIF('School comparison'!$E$2:$E$267,A4,'School comparison'!$X$2:$X$267)</x:f>
        <x:v>0</x:v>
      </x:c>
      <x:c r="E4" t="n">
        <x:f>SUMIF('School comparison'!$E$2:$E$267,A4,'School comparison'!$T$2:$T$267)</x:f>
        <x:v>0</x:v>
      </x:c>
      <x:c r="F4" t="n">
        <x:f>E4-C4</x:f>
        <x:v>0</x:v>
      </x:c>
      <x:c r="G4" t="str">
        <x:f>IF(COUNTIFS('School comparison'!$E$2:$E$267,A4,'School comparison'!$M$2:$M$267,"&lt;&gt;" )=B4,"COMPLETE","INCOMPLETE")</x:f>
        <x:v>COMPLETE</x:v>
      </x:c>
    </x:row>
    <x:row r="5">
      <x:c r="A5" t="str">
        <x:v>Championship Southeast</x:v>
      </x:c>
      <x:c r="B5" t="n">
        <x:f>COUNTIF('School comparison'!$E$2:$E$267,A5)</x:f>
        <x:v>12</x:v>
      </x:c>
      <x:c r="C5" t="n">
        <x:f>SUMIF('School comparison'!$E$2:$E$267,A5,'School comparison'!$P$2:$P$267)</x:f>
        <x:v>0</x:v>
      </x:c>
      <x:c r="D5" t="n">
        <x:f>SUMIF('School comparison'!$E$2:$E$267,A5,'School comparison'!$X$2:$X$267)</x:f>
        <x:v>0</x:v>
      </x:c>
      <x:c r="E5" t="n">
        <x:f>SUMIF('School comparison'!$E$2:$E$267,A5,'School comparison'!$T$2:$T$267)</x:f>
        <x:v>0</x:v>
      </x:c>
      <x:c r="F5" t="n">
        <x:f>E5-C5</x:f>
        <x:v>0</x:v>
      </x:c>
      <x:c r="G5" t="str">
        <x:f>IF(COUNTIFS('School comparison'!$E$2:$E$267,A5,'School comparison'!$M$2:$M$267,"&lt;&gt;" )=B5,"COMPLETE","INCOMPLETE")</x:f>
        <x:v>COMPLETE</x:v>
      </x:c>
    </x:row>
    <x:row r="6">
      <x:c r="A6" t="str">
        <x:v>Championship West</x:v>
      </x:c>
      <x:c r="B6" t="n">
        <x:f>COUNTIF('School comparison'!$E$2:$E$267,A6)</x:f>
        <x:v>12</x:v>
      </x:c>
      <x:c r="C6" t="n">
        <x:f>SUMIF('School comparison'!$E$2:$E$267,A6,'School comparison'!$P$2:$P$267)</x:f>
        <x:v>0</x:v>
      </x:c>
      <x:c r="D6" t="n">
        <x:f>SUMIF('School comparison'!$E$2:$E$267,A6,'School comparison'!$X$2:$X$267)</x:f>
        <x:v>0</x:v>
      </x:c>
      <x:c r="E6" t="n">
        <x:f>SUMIF('School comparison'!$E$2:$E$267,A6,'School comparison'!$T$2:$T$267)</x:f>
        <x:v>0</x:v>
      </x:c>
      <x:c r="F6" t="n">
        <x:f>E6-C6</x:f>
        <x:v>0</x:v>
      </x:c>
      <x:c r="G6" t="str">
        <x:f>IF(COUNTIFS('School comparison'!$E$2:$E$267,A6,'School comparison'!$M$2:$M$267,"&lt;&gt;" )=B6,"COMPLETE","INCOMPLETE")</x:f>
        <x:v>COMPLETE</x:v>
      </x:c>
    </x:row>
    <x:row r="7">
      <x:c r="A7" t="str">
        <x:v>Development Midwest</x:v>
      </x:c>
      <x:c r="B7" t="n">
        <x:f>COUNTIF('School comparison'!$E$2:$E$267,A7)</x:f>
        <x:v>11</x:v>
      </x:c>
      <x:c r="C7" t="n">
        <x:f>SUMIF('School comparison'!$E$2:$E$267,A7,'School comparison'!$P$2:$P$267)</x:f>
        <x:v>0</x:v>
      </x:c>
      <x:c r="D7" t="n">
        <x:f>SUMIF('School comparison'!$E$2:$E$267,A7,'School comparison'!$X$2:$X$267)</x:f>
        <x:v>0</x:v>
      </x:c>
      <x:c r="E7" t="n">
        <x:f>SUMIF('School comparison'!$E$2:$E$267,A7,'School comparison'!$T$2:$T$267)</x:f>
        <x:v>0</x:v>
      </x:c>
      <x:c r="F7" t="n">
        <x:f>E7-C7</x:f>
        <x:v>0</x:v>
      </x:c>
      <x:c r="G7" t="str">
        <x:f>IF(COUNTIFS('School comparison'!$E$2:$E$267,A7,'School comparison'!$M$2:$M$267,"&lt;&gt;" )=B7,"COMPLETE","INCOMPLETE")</x:f>
        <x:v>COMPLETE</x:v>
      </x:c>
    </x:row>
    <x:row r="8">
      <x:c r="A8" t="str">
        <x:v>Development Mountain</x:v>
      </x:c>
      <x:c r="B8" t="n">
        <x:f>COUNTIF('School comparison'!$E$2:$E$267,A8)</x:f>
        <x:v>12</x:v>
      </x:c>
      <x:c r="C8" t="n">
        <x:f>SUMIF('School comparison'!$E$2:$E$267,A8,'School comparison'!$P$2:$P$267)</x:f>
        <x:v>0</x:v>
      </x:c>
      <x:c r="D8" t="n">
        <x:f>SUMIF('School comparison'!$E$2:$E$267,A8,'School comparison'!$X$2:$X$267)</x:f>
        <x:v>0</x:v>
      </x:c>
      <x:c r="E8" t="n">
        <x:f>SUMIF('School comparison'!$E$2:$E$267,A8,'School comparison'!$T$2:$T$267)</x:f>
        <x:v>0</x:v>
      </x:c>
      <x:c r="F8" t="n">
        <x:f>E8-C8</x:f>
        <x:v>0</x:v>
      </x:c>
      <x:c r="G8" t="str">
        <x:f>IF(COUNTIFS('School comparison'!$E$2:$E$267,A8,'School comparison'!$M$2:$M$267,"&lt;&gt;" )=B8,"COMPLETE","INCOMPLETE")</x:f>
        <x:v>COMPLETE</x:v>
      </x:c>
    </x:row>
    <x:row r="9">
      <x:c r="A9" t="str">
        <x:v>Development Northeast</x:v>
      </x:c>
      <x:c r="B9" t="n">
        <x:f>COUNTIF('School comparison'!$E$2:$E$267,A9)</x:f>
        <x:v>11</x:v>
      </x:c>
      <x:c r="C9" t="n">
        <x:f>SUMIF('School comparison'!$E$2:$E$267,A9,'School comparison'!$P$2:$P$267)</x:f>
        <x:v>0</x:v>
      </x:c>
      <x:c r="D9" t="n">
        <x:f>SUMIF('School comparison'!$E$2:$E$267,A9,'School comparison'!$X$2:$X$267)</x:f>
        <x:v>0</x:v>
      </x:c>
      <x:c r="E9" t="n">
        <x:f>SUMIF('School comparison'!$E$2:$E$267,A9,'School comparison'!$T$2:$T$267)</x:f>
        <x:v>0</x:v>
      </x:c>
      <x:c r="F9" t="n">
        <x:f>E9-C9</x:f>
        <x:v>0</x:v>
      </x:c>
      <x:c r="G9" t="str">
        <x:f>IF(COUNTIFS('School comparison'!$E$2:$E$267,A9,'School comparison'!$M$2:$M$267,"&lt;&gt;" )=B9,"COMPLETE","INCOMPLETE")</x:f>
        <x:v>COMPLETE</x:v>
      </x:c>
    </x:row>
    <x:row r="10">
      <x:c r="A10" t="str">
        <x:v>Development Pacific</x:v>
      </x:c>
      <x:c r="B10" t="n">
        <x:f>COUNTIF('School comparison'!$E$2:$E$267,A10)</x:f>
        <x:v>12</x:v>
      </x:c>
      <x:c r="C10" t="n">
        <x:f>SUMIF('School comparison'!$E$2:$E$267,A10,'School comparison'!$P$2:$P$267)</x:f>
        <x:v>0</x:v>
      </x:c>
      <x:c r="D10" t="n">
        <x:f>SUMIF('School comparison'!$E$2:$E$267,A10,'School comparison'!$X$2:$X$267)</x:f>
        <x:v>0</x:v>
      </x:c>
      <x:c r="E10" t="n">
        <x:f>SUMIF('School comparison'!$E$2:$E$267,A10,'School comparison'!$T$2:$T$267)</x:f>
        <x:v>0</x:v>
      </x:c>
      <x:c r="F10" t="n">
        <x:f>E10-C10</x:f>
        <x:v>0</x:v>
      </x:c>
      <x:c r="G10" t="str">
        <x:f>IF(COUNTIFS('School comparison'!$E$2:$E$267,A10,'School comparison'!$M$2:$M$267,"&lt;&gt;" )=B10,"COMPLETE","INCOMPLETE")</x:f>
        <x:v>COMPLETE</x:v>
      </x:c>
    </x:row>
    <x:row r="11">
      <x:c r="A11" t="str">
        <x:v>Development Plains</x:v>
      </x:c>
      <x:c r="B11" t="n">
        <x:f>COUNTIF('School comparison'!$E$2:$E$267,A11)</x:f>
        <x:v>12</x:v>
      </x:c>
      <x:c r="C11" t="n">
        <x:f>SUMIF('School comparison'!$E$2:$E$267,A11,'School comparison'!$P$2:$P$267)</x:f>
        <x:v>0</x:v>
      </x:c>
      <x:c r="D11" t="n">
        <x:f>SUMIF('School comparison'!$E$2:$E$267,A11,'School comparison'!$X$2:$X$267)</x:f>
        <x:v>0</x:v>
      </x:c>
      <x:c r="E11" t="n">
        <x:f>SUMIF('School comparison'!$E$2:$E$267,A11,'School comparison'!$T$2:$T$267)</x:f>
        <x:v>0</x:v>
      </x:c>
      <x:c r="F11" t="n">
        <x:f>E11-C11</x:f>
        <x:v>0</x:v>
      </x:c>
      <x:c r="G11" t="str">
        <x:f>IF(COUNTIFS('School comparison'!$E$2:$E$267,A11,'School comparison'!$M$2:$M$267,"&lt;&gt;" )=B11,"COMPLETE","INCOMPLETE")</x:f>
        <x:v>COMPLETE</x:v>
      </x:c>
    </x:row>
    <x:row r="12">
      <x:c r="A12" t="str">
        <x:v>Development Southeast</x:v>
      </x:c>
      <x:c r="B12" t="n">
        <x:f>COUNTIF('School comparison'!$E$2:$E$267,A12)</x:f>
        <x:v>11</x:v>
      </x:c>
      <x:c r="C12" t="n">
        <x:f>SUMIF('School comparison'!$E$2:$E$267,A12,'School comparison'!$P$2:$P$267)</x:f>
        <x:v>0</x:v>
      </x:c>
      <x:c r="D12" t="n">
        <x:f>SUMIF('School comparison'!$E$2:$E$267,A12,'School comparison'!$X$2:$X$267)</x:f>
        <x:v>0</x:v>
      </x:c>
      <x:c r="E12" t="n">
        <x:f>SUMIF('School comparison'!$E$2:$E$267,A12,'School comparison'!$T$2:$T$267)</x:f>
        <x:v>0</x:v>
      </x:c>
      <x:c r="F12" t="n">
        <x:f>E12-C12</x:f>
        <x:v>0</x:v>
      </x:c>
      <x:c r="G12" t="str">
        <x:f>IF(COUNTIFS('School comparison'!$E$2:$E$267,A12,'School comparison'!$M$2:$M$267,"&lt;&gt;" )=B12,"COMPLETE","INCOMPLETE")</x:f>
        <x:v>COMPLETE</x:v>
      </x:c>
    </x:row>
    <x:row r="13">
      <x:c r="A13" t="str">
        <x:v>National Atlantic</x:v>
      </x:c>
      <x:c r="B13" t="n">
        <x:f>COUNTIF('School comparison'!$E$2:$E$267,A13)</x:f>
        <x:v>10</x:v>
      </x:c>
      <x:c r="C13" t="n">
        <x:f>SUMIF('School comparison'!$E$2:$E$267,A13,'School comparison'!$P$2:$P$267)</x:f>
        <x:v>0</x:v>
      </x:c>
      <x:c r="D13" t="n">
        <x:f>SUMIF('School comparison'!$E$2:$E$267,A13,'School comparison'!$X$2:$X$267)</x:f>
        <x:v>0</x:v>
      </x:c>
      <x:c r="E13" t="n">
        <x:f>SUMIF('School comparison'!$E$2:$E$267,A13,'School comparison'!$T$2:$T$267)</x:f>
        <x:v>0</x:v>
      </x:c>
      <x:c r="F13" t="n">
        <x:f>E13-C13</x:f>
        <x:v>0</x:v>
      </x:c>
      <x:c r="G13" t="str">
        <x:f>IF(COUNTIFS('School comparison'!$E$2:$E$267,A13,'School comparison'!$M$2:$M$267,"&lt;&gt;" )=B13,"COMPLETE","INCOMPLETE")</x:f>
        <x:v>COMPLETE</x:v>
      </x:c>
    </x:row>
    <x:row r="14">
      <x:c r="A14" t="str">
        <x:v>National Great Lakes</x:v>
      </x:c>
      <x:c r="B14" t="n">
        <x:f>COUNTIF('School comparison'!$E$2:$E$267,A14)</x:f>
        <x:v>11</x:v>
      </x:c>
      <x:c r="C14" t="n">
        <x:f>SUMIF('School comparison'!$E$2:$E$267,A14,'School comparison'!$P$2:$P$267)</x:f>
        <x:v>0</x:v>
      </x:c>
      <x:c r="D14" t="n">
        <x:f>SUMIF('School comparison'!$E$2:$E$267,A14,'School comparison'!$X$2:$X$267)</x:f>
        <x:v>0</x:v>
      </x:c>
      <x:c r="E14" t="n">
        <x:f>SUMIF('School comparison'!$E$2:$E$267,A14,'School comparison'!$T$2:$T$267)</x:f>
        <x:v>0</x:v>
      </x:c>
      <x:c r="F14" t="n">
        <x:f>E14-C14</x:f>
        <x:v>0</x:v>
      </x:c>
      <x:c r="G14" t="str">
        <x:f>IF(COUNTIFS('School comparison'!$E$2:$E$267,A14,'School comparison'!$M$2:$M$267,"&lt;&gt;" )=B14,"COMPLETE","INCOMPLETE")</x:f>
        <x:v>COMPLETE</x:v>
      </x:c>
    </x:row>
    <x:row r="15">
      <x:c r="A15" t="str">
        <x:v>National Heartland</x:v>
      </x:c>
      <x:c r="B15" t="n">
        <x:f>COUNTIF('School comparison'!$E$2:$E$267,A15)</x:f>
        <x:v>11</x:v>
      </x:c>
      <x:c r="C15" t="n">
        <x:f>SUMIF('School comparison'!$E$2:$E$267,A15,'School comparison'!$P$2:$P$267)</x:f>
        <x:v>0</x:v>
      </x:c>
      <x:c r="D15" t="n">
        <x:f>SUMIF('School comparison'!$E$2:$E$267,A15,'School comparison'!$X$2:$X$267)</x:f>
        <x:v>0</x:v>
      </x:c>
      <x:c r="E15" t="n">
        <x:f>SUMIF('School comparison'!$E$2:$E$267,A15,'School comparison'!$T$2:$T$267)</x:f>
        <x:v>0</x:v>
      </x:c>
      <x:c r="F15" t="n">
        <x:f>E15-C15</x:f>
        <x:v>0</x:v>
      </x:c>
      <x:c r="G15" t="str">
        <x:f>IF(COUNTIFS('School comparison'!$E$2:$E$267,A15,'School comparison'!$M$2:$M$267,"&lt;&gt;" )=B15,"COMPLETE","INCOMPLETE")</x:f>
        <x:v>COMPLETE</x:v>
      </x:c>
    </x:row>
    <x:row r="16">
      <x:c r="A16" t="str">
        <x:v>National Mountain</x:v>
      </x:c>
      <x:c r="B16" t="n">
        <x:f>COUNTIF('School comparison'!$E$2:$E$267,A16)</x:f>
        <x:v>11</x:v>
      </x:c>
      <x:c r="C16" t="n">
        <x:f>SUMIF('School comparison'!$E$2:$E$267,A16,'School comparison'!$P$2:$P$267)</x:f>
        <x:v>0</x:v>
      </x:c>
      <x:c r="D16" t="n">
        <x:f>SUMIF('School comparison'!$E$2:$E$267,A16,'School comparison'!$X$2:$X$267)</x:f>
        <x:v>0</x:v>
      </x:c>
      <x:c r="E16" t="n">
        <x:f>SUMIF('School comparison'!$E$2:$E$267,A16,'School comparison'!$T$2:$T$267)</x:f>
        <x:v>0</x:v>
      </x:c>
      <x:c r="F16" t="n">
        <x:f>E16-C16</x:f>
        <x:v>0</x:v>
      </x:c>
      <x:c r="G16" t="str">
        <x:f>IF(COUNTIFS('School comparison'!$E$2:$E$267,A16,'School comparison'!$M$2:$M$267,"&lt;&gt;" )=B16,"COMPLETE","INCOMPLETE")</x:f>
        <x:v>COMPLETE</x:v>
      </x:c>
    </x:row>
    <x:row r="17">
      <x:c r="A17" t="str">
        <x:v>National Pacific</x:v>
      </x:c>
      <x:c r="B17" t="n">
        <x:f>COUNTIF('School comparison'!$E$2:$E$267,A17)</x:f>
        <x:v>11</x:v>
      </x:c>
      <x:c r="C17" t="n">
        <x:f>SUMIF('School comparison'!$E$2:$E$267,A17,'School comparison'!$P$2:$P$267)</x:f>
        <x:v>0</x:v>
      </x:c>
      <x:c r="D17" t="n">
        <x:f>SUMIF('School comparison'!$E$2:$E$267,A17,'School comparison'!$X$2:$X$267)</x:f>
        <x:v>0</x:v>
      </x:c>
      <x:c r="E17" t="n">
        <x:f>SUMIF('School comparison'!$E$2:$E$267,A17,'School comparison'!$T$2:$T$267)</x:f>
        <x:v>0</x:v>
      </x:c>
      <x:c r="F17" t="n">
        <x:f>E17-C17</x:f>
        <x:v>0</x:v>
      </x:c>
      <x:c r="G17" t="str">
        <x:f>IF(COUNTIFS('School comparison'!$E$2:$E$267,A17,'School comparison'!$M$2:$M$267,"&lt;&gt;" )=B17,"COMPLETE","INCOMPLETE")</x:f>
        <x:v>COMPLETE</x:v>
      </x:c>
    </x:row>
    <x:row r="18">
      <x:c r="A18" t="str">
        <x:v>National Southeast</x:v>
      </x:c>
      <x:c r="B18" t="n">
        <x:f>COUNTIF('School comparison'!$E$2:$E$267,A18)</x:f>
        <x:v>11</x:v>
      </x:c>
      <x:c r="C18" t="n">
        <x:f>SUMIF('School comparison'!$E$2:$E$267,A18,'School comparison'!$P$2:$P$267)</x:f>
        <x:v>0</x:v>
      </x:c>
      <x:c r="D18" t="n">
        <x:f>SUMIF('School comparison'!$E$2:$E$267,A18,'School comparison'!$X$2:$X$267)</x:f>
        <x:v>0</x:v>
      </x:c>
      <x:c r="E18" t="n">
        <x:f>SUMIF('School comparison'!$E$2:$E$267,A18,'School comparison'!$T$2:$T$267)</x:f>
        <x:v>0</x:v>
      </x:c>
      <x:c r="F18" t="n">
        <x:f>E18-C18</x:f>
        <x:v>0</x:v>
      </x:c>
      <x:c r="G18" t="str">
        <x:f>IF(COUNTIFS('School comparison'!$E$2:$E$267,A18,'School comparison'!$M$2:$M$267,"&lt;&gt;" )=B18,"COMPLETE","INCOMPLETE")</x:f>
        <x:v>COMPLETE</x:v>
      </x:c>
    </x:row>
    <x:row r="19">
      <x:c r="A19" t="str">
        <x:v>Premier Atlantic</x:v>
      </x:c>
      <x:c r="B19" t="n">
        <x:f>COUNTIF('School comparison'!$E$2:$E$267,A19)</x:f>
        <x:v>12</x:v>
      </x:c>
      <x:c r="C19" t="n">
        <x:f>SUMIF('School comparison'!$E$2:$E$267,A19,'School comparison'!$P$2:$P$267)</x:f>
        <x:v>0</x:v>
      </x:c>
      <x:c r="D19" t="n">
        <x:f>SUMIF('School comparison'!$E$2:$E$267,A19,'School comparison'!$X$2:$X$267)</x:f>
        <x:v>0</x:v>
      </x:c>
      <x:c r="E19" t="n">
        <x:f>SUMIF('School comparison'!$E$2:$E$267,A19,'School comparison'!$T$2:$T$267)</x:f>
        <x:v>0</x:v>
      </x:c>
      <x:c r="F19" t="n">
        <x:f>E19-C19</x:f>
        <x:v>0</x:v>
      </x:c>
      <x:c r="G19" t="str">
        <x:f>IF(COUNTIFS('School comparison'!$E$2:$E$267,A19,'School comparison'!$M$2:$M$267,"&lt;&gt;" )=B19,"COMPLETE","INCOMPLETE")</x:f>
        <x:v>COMPLETE</x:v>
      </x:c>
    </x:row>
    <x:row r="20">
      <x:c r="A20" t="str">
        <x:v>Premier Great Lakes</x:v>
      </x:c>
      <x:c r="B20" t="n">
        <x:f>COUNTIF('School comparison'!$E$2:$E$267,A20)</x:f>
        <x:v>12</x:v>
      </x:c>
      <x:c r="C20" t="n">
        <x:f>SUMIF('School comparison'!$E$2:$E$267,A20,'School comparison'!$P$2:$P$267)</x:f>
        <x:v>0</x:v>
      </x:c>
      <x:c r="D20" t="n">
        <x:f>SUMIF('School comparison'!$E$2:$E$267,A20,'School comparison'!$X$2:$X$267)</x:f>
        <x:v>0</x:v>
      </x:c>
      <x:c r="E20" t="n">
        <x:f>SUMIF('School comparison'!$E$2:$E$267,A20,'School comparison'!$T$2:$T$267)</x:f>
        <x:v>0</x:v>
      </x:c>
      <x:c r="F20" t="n">
        <x:f>E20-C20</x:f>
        <x:v>0</x:v>
      </x:c>
      <x:c r="G20" t="str">
        <x:f>IF(COUNTIFS('School comparison'!$E$2:$E$267,A20,'School comparison'!$M$2:$M$267,"&lt;&gt;" )=B20,"COMPLETE","INCOMPLETE")</x:f>
        <x:v>COMPLETE</x:v>
      </x:c>
    </x:row>
    <x:row r="21">
      <x:c r="A21" t="str">
        <x:v>Premier Heartland</x:v>
      </x:c>
      <x:c r="B21" t="n">
        <x:f>COUNTIF('School comparison'!$E$2:$E$267,A21)</x:f>
        <x:v>12</x:v>
      </x:c>
      <x:c r="C21" t="n">
        <x:f>SUMIF('School comparison'!$E$2:$E$267,A21,'School comparison'!$P$2:$P$267)</x:f>
        <x:v>0</x:v>
      </x:c>
      <x:c r="D21" t="n">
        <x:f>SUMIF('School comparison'!$E$2:$E$267,A21,'School comparison'!$X$2:$X$267)</x:f>
        <x:v>0</x:v>
      </x:c>
      <x:c r="E21" t="n">
        <x:f>SUMIF('School comparison'!$E$2:$E$267,A21,'School comparison'!$T$2:$T$267)</x:f>
        <x:v>0</x:v>
      </x:c>
      <x:c r="F21" t="n">
        <x:f>E21-C21</x:f>
        <x:v>0</x:v>
      </x:c>
      <x:c r="G21" t="str">
        <x:f>IF(COUNTIFS('School comparison'!$E$2:$E$267,A21,'School comparison'!$M$2:$M$267,"&lt;&gt;" )=B21,"COMPLETE","INCOMPLETE")</x:f>
        <x:v>COMPLETE</x:v>
      </x:c>
    </x:row>
    <x:row r="22">
      <x:c r="A22" t="str">
        <x:v>Premier Mountain</x:v>
      </x:c>
      <x:c r="B22" t="n">
        <x:f>COUNTIF('School comparison'!$E$2:$E$267,A22)</x:f>
        <x:v>12</x:v>
      </x:c>
      <x:c r="C22" t="n">
        <x:f>SUMIF('School comparison'!$E$2:$E$267,A22,'School comparison'!$P$2:$P$267)</x:f>
        <x:v>0</x:v>
      </x:c>
      <x:c r="D22" t="n">
        <x:f>SUMIF('School comparison'!$E$2:$E$267,A22,'School comparison'!$X$2:$X$267)</x:f>
        <x:v>0</x:v>
      </x:c>
      <x:c r="E22" t="n">
        <x:f>SUMIF('School comparison'!$E$2:$E$267,A22,'School comparison'!$T$2:$T$267)</x:f>
        <x:v>0</x:v>
      </x:c>
      <x:c r="F22" t="n">
        <x:f>E22-C22</x:f>
        <x:v>0</x:v>
      </x:c>
      <x:c r="G22" t="str">
        <x:f>IF(COUNTIFS('School comparison'!$E$2:$E$267,A22,'School comparison'!$M$2:$M$267,"&lt;&gt;" )=B22,"COMPLETE","INCOMPLETE")</x:f>
        <x:v>COMPLETE</x:v>
      </x:c>
    </x:row>
    <x:row r="23">
      <x:c r="A23" t="str">
        <x:v>Premier Pacific</x:v>
      </x:c>
      <x:c r="B23" t="n">
        <x:f>COUNTIF('School comparison'!$E$2:$E$267,A23)</x:f>
        <x:v>12</x:v>
      </x:c>
      <x:c r="C23" t="n">
        <x:f>SUMIF('School comparison'!$E$2:$E$267,A23,'School comparison'!$P$2:$P$267)</x:f>
        <x:v>0</x:v>
      </x:c>
      <x:c r="D23" t="n">
        <x:f>SUMIF('School comparison'!$E$2:$E$267,A23,'School comparison'!$X$2:$X$267)</x:f>
        <x:v>0</x:v>
      </x:c>
      <x:c r="E23" t="n">
        <x:f>SUMIF('School comparison'!$E$2:$E$267,A23,'School comparison'!$T$2:$T$267)</x:f>
        <x:v>0</x:v>
      </x:c>
      <x:c r="F23" t="n">
        <x:f>E23-C23</x:f>
        <x:v>0</x:v>
      </x:c>
      <x:c r="G23" t="str">
        <x:f>IF(COUNTIFS('School comparison'!$E$2:$E$267,A23,'School comparison'!$M$2:$M$267,"&lt;&gt;" )=B23,"COMPLETE","INCOMPLETE")</x:f>
        <x:v>COMPLETE</x:v>
      </x:c>
    </x:row>
    <x:row r="24">
      <x:c r="A24" t="str">
        <x:v>Premier Southeast</x:v>
      </x:c>
      <x:c r="B24" t="n">
        <x:f>COUNTIF('School comparison'!$E$2:$E$267,A24)</x:f>
        <x:v>12</x:v>
      </x:c>
      <x:c r="C24" t="n">
        <x:f>SUMIF('School comparison'!$E$2:$E$267,A24,'School comparison'!$P$2:$P$267)</x:f>
        <x:v>0</x:v>
      </x:c>
      <x:c r="D24" t="n">
        <x:f>SUMIF('School comparison'!$E$2:$E$267,A24,'School comparison'!$X$2:$X$267)</x:f>
        <x:v>0</x:v>
      </x:c>
      <x:c r="E24" t="n">
        <x:f>SUMIF('School comparison'!$E$2:$E$267,A24,'School comparison'!$T$2:$T$267)</x:f>
        <x:v>0</x:v>
      </x:c>
      <x:c r="F24" t="n">
        <x:f>E24-C24</x:f>
        <x:v>0</x:v>
      </x:c>
      <x:c r="G24" t="str">
        <x:f>IF(COUNTIFS('School comparison'!$E$2:$E$267,A24,'School comparison'!$M$2:$M$267,"&lt;&gt;" )=B24,"COMPLETE","INCOMPLETE")</x:f>
        <x:v>COMPLETE</x:v>
      </x:c>
    </x:row>
  </x:sheetData>
  <x:pageMargins left="0.7" right="0.7" top="0.75" bottom="0.75" header="0.3" footer="0.3"/>
</x:worksheet>
</file>